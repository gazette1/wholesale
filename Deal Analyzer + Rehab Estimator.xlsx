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Offers" sheetId="1" r:id="rId5"/>
    <sheet state="visible" name="Aquisitions Deal Analyzer" sheetId="2" r:id="rId6"/>
    <sheet state="visible" name="Delayed Draw Cash Flow" sheetId="3" r:id="rId7"/>
    <sheet state="visible" name="Up Front Draw Cash Flow" sheetId="4" r:id="rId8"/>
    <sheet state="visible" name="Buy &amp; Hold" sheetId="5" r:id="rId9"/>
    <sheet state="visible" name="Buy &amp; Hold 2" sheetId="6" r:id="rId10"/>
    <sheet state="visible" name="Deal Analyzer Fields" sheetId="7" r:id="rId11"/>
    <sheet state="hidden" name="To Airtable" sheetId="8" r:id="rId12"/>
    <sheet state="hidden" name="Example" sheetId="9" r:id="rId13"/>
    <sheet state="hidden" name="Example 2" sheetId="10" r:id="rId14"/>
    <sheet state="visible" name="Rehab Estimator Fields" sheetId="11" r:id="rId15"/>
    <sheet state="visible" name="Rehab Estimator" sheetId="12" r:id="rId16"/>
    <sheet state="visible" name="Definitions" sheetId="13" r:id="rId17"/>
    <sheet state="visible" name="Table 1" sheetId="14" r:id="rId18"/>
    <sheet state="visible" name="Amortization Schedule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tc={2fa1c77b-2272-4d5e-850d-2970f95c7500}</author>
  </authors>
  <commentList>
    <comment authorId="0" xr:uid="{2fa1c77b-2272-4d5e-850d-2970f95c7500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Expenses Required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0">
      <text>
        <t xml:space="preserve">The 2nd position interest rate and calculated interest amount based on the entire holding period. </t>
      </text>
    </comment>
    <comment authorId="0" ref="A59">
      <text>
        <t xml:space="preserve">Enter any miscellaneous buying transaction costs. You can enter more costs below or insert more rows If necessary.</t>
      </text>
    </comment>
    <comment authorId="0" ref="A26">
      <text>
        <t xml:space="preserve">The 1st position Interest only monthly payment amount if required by lender. 
</t>
      </text>
    </comment>
    <comment authorId="0" ref="A51">
      <text>
        <t xml:space="preserve">Combined value for gas, electricity, water, and miscellaneous utilities. If necessary, insert more rows to add more utility line items.</t>
      </text>
    </comment>
    <comment authorId="0" ref="A18">
      <text>
        <t xml:space="preserve">The dollar amount you plan to purchase the property for.</t>
      </text>
    </comment>
    <comment authorId="0" ref="C51">
      <text>
        <t xml:space="preserve">Utility Costs Formula:
¹¹Utility Costs - are estimated at $200/month however click + sign on far left (Expandable to enter Gas, Water, Electricity, Miscellaenous).</t>
      </text>
    </comment>
    <comment authorId="0" ref="A80">
      <text>
        <t xml:space="preserve">Total Borrowing Costs of first, second, and miscellaneous rehab financing fees, points, and interest charged over the duration of the holding period.</t>
      </text>
    </comment>
    <comment authorId="0" ref="A43">
      <text>
        <t xml:space="preserve">Use default or enter the actual annual property taxes as reported on the county tax assessors website or enter an estimate.</t>
      </text>
    </comment>
    <comment authorId="0" ref="A68">
      <text>
        <t xml:space="preserve">Offers protection for mechanical systems and attached appliances against unexpected repairs not covered by homeowner's insurance; coverage extends over a specific time period and does not cover the home's structure.</t>
      </text>
    </comment>
    <comment authorId="0" ref="A35">
      <text>
        <t xml:space="preserve">The Misc. position Interest rate and calculated interest amount based on the entire holding period. </t>
      </text>
    </comment>
    <comment authorId="0" ref="A64">
      <text>
        <t xml:space="preserve">Fees charged by attorney or escrow company at closing. Typically a % of sales price.</t>
      </text>
    </comment>
    <comment authorId="0" ref="A31">
      <text>
        <t xml:space="preserve">The 2nd position Interest only monthly payment amount if required by lender. </t>
      </text>
    </comment>
    <comment authorId="0" ref="C64">
      <text>
        <t xml:space="preserve">Escrow &amp; Attorney Fees:
Attorney Fees - includes title insurance carry-over. 
For Attorney States use flat amount charged. For Escrow States, convert charges to a flat amount and enter them here.</t>
      </text>
    </comment>
    <comment authorId="0" ref="A23">
      <text>
        <t xml:space="preserve">The 1st position loan amount borrowed to purchase the property and / or fund the rehab.</t>
      </text>
    </comment>
    <comment authorId="0" ref="A52">
      <text>
        <t xml:space="preserve">Enter any miscellaneous holding costs. Insert more rows If necessary.</t>
      </text>
    </comment>
    <comment authorId="0" ref="B85">
      <text>
        <t xml:space="preserve">Difference between the revenue and expenses of the entire project before income taxes.
</t>
      </text>
    </comment>
    <comment authorId="0" ref="A19">
      <text>
        <t xml:space="preserve">Estimated number of months you plan to own the property from purchase date to close of escrow sale date.</t>
      </text>
    </comment>
    <comment authorId="0" ref="A81">
      <text>
        <t xml:space="preserve">Total Costs for all monthly carrying expenses based on the duration of how long property is held between purchase and sales date.</t>
      </text>
    </comment>
    <comment authorId="0" ref="A15">
      <text>
        <t xml:space="preserve">Value of the property after all repairs have been made regardless of purchase price. Also known as "Fair Market Value." </t>
      </text>
    </comment>
    <comment authorId="0" ref="A77">
      <text>
        <t xml:space="preserve">Value of the property after all repairs have been made regardless of purchase price. Also known as "Fair Market Value."</t>
      </text>
    </comment>
    <comment authorId="0" ref="A44">
      <text>
        <t xml:space="preserve">Use default or enter the Home Owner Association fees typically charged monthly here. If paid quarterly, divide the amount by 3.</t>
      </text>
    </comment>
    <comment authorId="0" ref="A69">
      <text>
        <t xml:space="preserve">Cost for getting the property ready to sell by bringing in home furnishings.</t>
      </text>
    </comment>
    <comment authorId="0" ref="A36">
      <text>
        <t xml:space="preserve">The Misc. position Interest only monthly payment amount if required by lender.</t>
      </text>
    </comment>
    <comment authorId="0" ref="A65">
      <text>
        <t xml:space="preserve">Fees taken from the HUD-1. County recording fees charged by escrow company.</t>
      </text>
    </comment>
    <comment authorId="0" ref="C65">
      <text>
        <t xml:space="preserve">Selling Recording Fees:
Flat fee charged on HUD based on your area/county/city.
 </t>
      </text>
    </comment>
    <comment authorId="0" ref="A28">
      <text>
        <t xml:space="preserve">The 2nd position loan amount borrowed to purchase the property and / or fund the rehab.</t>
      </text>
    </comment>
    <comment authorId="0" ref="A57">
      <text>
        <t xml:space="preserve">Fees charged by attorney or escrow company at closing. Typically a % of sales price.</t>
      </text>
    </comment>
    <comment authorId="0" ref="A24">
      <text>
        <t xml:space="preserve">The 1st position points charged as a % of Mortgage Lien Amount. 1 Point = 1% in calculation.</t>
      </text>
    </comment>
    <comment authorId="0" ref="C57">
      <text>
        <t xml:space="preserve">Escrow &amp; Attorney Fees Formula:
Attorney Fees - includes title insurance carry-over. 
For Attorney States use flat amount charged. For Escrow States, convert charges to a flat amount and enter them here.</t>
      </text>
    </comment>
    <comment authorId="0" ref="A82">
      <text>
        <t xml:space="preserve">Total transactional costs related to the buying phase of the transaction.</t>
      </text>
    </comment>
    <comment authorId="0" ref="A16">
      <text>
        <t xml:space="preserve">Value of the property in current "as is" condition. Not factoring repairs needed.</t>
      </text>
    </comment>
    <comment authorId="0" ref="A78">
      <text>
        <t xml:space="preserve">The dollar amount you plan to purchase the property for. Also called the "contract price."</t>
      </text>
    </comment>
    <comment authorId="0" ref="A45">
      <text>
        <t xml:space="preserve">Vacant or Occupied insurance premium charged during term of holding period and then converted to annual amount and divided by 12 to show monthly amount</t>
      </text>
    </comment>
    <comment authorId="0" ref="C45">
      <text>
        <t xml:space="preserve">Insurance Costs Formula:
Occupied = $.77/$1,000 + $500 Vacant = $6/$1,000 + $500</t>
      </text>
    </comment>
    <comment authorId="0" ref="A70">
      <text>
        <t xml:space="preserve">Costs related to offline and online advertising, printing, and promotion to advertise the property for sale.</t>
      </text>
    </comment>
    <comment authorId="0" ref="A37">
      <text>
        <t xml:space="preserve">Insert any miscellaneous Financing related costs here, you can also add more rows if necessary.</t>
      </text>
    </comment>
    <comment authorId="0" ref="A66">
      <text>
        <t xml:space="preserve">Realtor Commissions as agreed in Purchase and Sale Agreement and extra fees for transaction processing.  **This will change depending on what you negotiate with your realtor.  If you are a realtor and list your own properties, this percentage will change accordingly, as you will typically pay half the amount.</t>
      </text>
    </comment>
    <comment authorId="0" ref="A33">
      <text>
        <t xml:space="preserve">The Misc. position loan amount borrowed to purchase the property and / or fund the rehab.</t>
      </text>
    </comment>
    <comment authorId="0" ref="B66">
      <text>
        <t xml:space="preserve">Insert the % of realtor commission you will have to pay at closing. Typically 2.5-3% for buyers agent. If you have a listing agent, you will want to add 2.5-3% or whatever you negotiate as well.</t>
      </text>
    </comment>
    <comment authorId="0" ref="A29">
      <text>
        <t xml:space="preserve">The 2nd position points charged as a % of Mortgage Lien Amount. 1 Point = 1% in calculation.</t>
      </text>
    </comment>
    <comment authorId="0" ref="A58">
      <text>
        <t xml:space="preserve">Insurance Policy to insure clear and marketable title. Changes based on area, type of policy, underwriter plus costs to search for title history.
</t>
      </text>
    </comment>
    <comment authorId="0" ref="A25">
      <text>
        <t xml:space="preserve">The 1st position Interest rate and calculated interest amount based on the entire holding period.
</t>
      </text>
    </comment>
    <comment authorId="0" ref="C58">
      <text>
        <t xml:space="preserve">Title Insuranance/ Search Formula: 
$500 plus 1/4% of purchase price. Or adjust % and flat amount in formula based on your location differences</t>
      </text>
    </comment>
    <comment authorId="0" ref="A83">
      <text>
        <t xml:space="preserve">Total transactional costs related to the selling phase of the transaction.
</t>
      </text>
    </comment>
    <comment authorId="0" ref="A17">
      <text>
        <t xml:space="preserve">The dollar amount of estimated repairs based on your analysis.</t>
      </text>
    </comment>
    <comment authorId="0" ref="A79">
      <text>
        <t xml:space="preserve">The dollar amount of estimated repairs based on your analysis and assessment. </t>
      </text>
    </comment>
    <comment authorId="0" ref="A71">
      <text>
        <t xml:space="preserve">Enter any miscellaneous selling transaction costs. Insert more rows If necessary.</t>
      </text>
    </comment>
    <comment authorId="0" ref="A67">
      <text>
        <t xml:space="preserve">For the transfer of land charged by County from seller to buyer. Typically a % of the land value based on county assessor valuation.  **It's imperative you research the correct percentage for your area as it can be vastly different.</t>
      </text>
    </comment>
    <comment authorId="0" ref="A34">
      <text>
        <t xml:space="preserve">The Misc. position points charged as a % of Mortgage Lien Amount. 1 Point = 1% in calculation.</t>
      </text>
    </comment>
    <comment authorId="0" ref="B67">
      <text>
        <t xml:space="preserve">Formula:
Make sure you enter the correct % based on your area. This is different based on location!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0">
      <text>
        <t xml:space="preserve">The 2nd position interest rate and calculated interest amount based on the entire holding period. </t>
      </text>
    </comment>
    <comment authorId="0" ref="A59">
      <text>
        <t xml:space="preserve">Enter any miscellaneous buying transaction costs. You can enter more costs below or insert more rows If necessary.</t>
      </text>
    </comment>
    <comment authorId="0" ref="A26">
      <text>
        <t xml:space="preserve">The 1st position Interest only monthly payment amount if required by lender. 
</t>
      </text>
    </comment>
    <comment authorId="0" ref="A51">
      <text>
        <t xml:space="preserve">Combined value for gas, electricity, water, and miscellaneous utilities. If necessary, insert more rows to add more utility line items.</t>
      </text>
    </comment>
    <comment authorId="0" ref="A18">
      <text>
        <t xml:space="preserve">The dollar amount you plan to purchase the property for.</t>
      </text>
    </comment>
    <comment authorId="0" ref="C51">
      <text>
        <t xml:space="preserve">Utility Costs Formula:
¹¹Utility Costs - are estimated at $200/month however click + sign on far left (Expandable to enter Gas, Water, Electricity, Miscellaenous).</t>
      </text>
    </comment>
    <comment authorId="0" ref="A80">
      <text>
        <t xml:space="preserve">Total Borrowing Costs of first, second, and miscellaneous rehab financing fees, points, and interest charged over the duration of the holding period.</t>
      </text>
    </comment>
    <comment authorId="0" ref="A43">
      <text>
        <t xml:space="preserve">Use default or enter the actual annual property taxes as reported on the county tax assessors website or enter an estimate.</t>
      </text>
    </comment>
    <comment authorId="0" ref="A68">
      <text>
        <t xml:space="preserve">Offers protection for mechanical systems and attached appliances against unexpected repairs not covered by homeowner's insurance; coverage extends over a specific time period and does not cover the home's structure.</t>
      </text>
    </comment>
    <comment authorId="0" ref="A35">
      <text>
        <t xml:space="preserve">The Misc. position Interest rate and calculated interest amount based on the entire holding period. </t>
      </text>
    </comment>
    <comment authorId="0" ref="A64">
      <text>
        <t xml:space="preserve">Fees charged by attorney or escrow company at closing. Typically a % of sales price.</t>
      </text>
    </comment>
    <comment authorId="0" ref="A31">
      <text>
        <t xml:space="preserve">The 2nd position Interest only monthly payment amount if required by lender. </t>
      </text>
    </comment>
    <comment authorId="0" ref="C64">
      <text>
        <t xml:space="preserve">Escrow &amp; Attorney Fees:
Attorney Fees - includes title insurance carry-over. 
For Attorney States use flat amount charged. For Escrow States, convert charges to a flat amount and enter them here.</t>
      </text>
    </comment>
    <comment authorId="0" ref="A23">
      <text>
        <t xml:space="preserve">The 1st position loan amount borrowed to purchase the property and / or fund the rehab.</t>
      </text>
    </comment>
    <comment authorId="0" ref="A52">
      <text>
        <t xml:space="preserve">Enter any miscellaneous holding costs. Insert more rows If necessary.</t>
      </text>
    </comment>
    <comment authorId="0" ref="B85">
      <text>
        <t xml:space="preserve">Difference between the revenue and expenses of the entire project before income taxes.
</t>
      </text>
    </comment>
    <comment authorId="0" ref="A19">
      <text>
        <t xml:space="preserve">Estimated number of months you plan to own the property from purchase date to close of escrow sale date.</t>
      </text>
    </comment>
    <comment authorId="0" ref="A81">
      <text>
        <t xml:space="preserve">Total Costs for all monthly carrying expenses based on the duration of how long property is held between purchase and sales date.</t>
      </text>
    </comment>
    <comment authorId="0" ref="A15">
      <text>
        <t xml:space="preserve">Value of the property after all repairs have been made regardless of purchase price. Also known as "Fair Market Value." </t>
      </text>
    </comment>
    <comment authorId="0" ref="A77">
      <text>
        <t xml:space="preserve">Value of the property after all repairs have been made regardless of purchase price. Also known as "Fair Market Value."</t>
      </text>
    </comment>
    <comment authorId="0" ref="A44">
      <text>
        <t xml:space="preserve">Use default or enter the Home Owner Association fees typically charged monthly here. If paid quarterly, divide the amount by 3.</t>
      </text>
    </comment>
    <comment authorId="0" ref="A69">
      <text>
        <t xml:space="preserve">Cost for getting the property ready to sell by bringing in home furnishings.</t>
      </text>
    </comment>
    <comment authorId="0" ref="A36">
      <text>
        <t xml:space="preserve">The Misc. position Interest only monthly payment amount if required by lender.</t>
      </text>
    </comment>
    <comment authorId="0" ref="A65">
      <text>
        <t xml:space="preserve">Fees taken from the HUD-1. County recording fees charged by escrow company.</t>
      </text>
    </comment>
    <comment authorId="0" ref="C65">
      <text>
        <t xml:space="preserve">Selling Recording Fees:
Flat fee charged on HUD based on your area/county/city.
 </t>
      </text>
    </comment>
    <comment authorId="0" ref="A28">
      <text>
        <t xml:space="preserve">The 2nd position loan amount borrowed to purchase the property and / or fund the rehab.</t>
      </text>
    </comment>
    <comment authorId="0" ref="A57">
      <text>
        <t xml:space="preserve">Fees charged by attorney or escrow company at closing. Typically a % of sales price.</t>
      </text>
    </comment>
    <comment authorId="0" ref="A24">
      <text>
        <t xml:space="preserve">The 1st position points charged as a % of Mortgage Lien Amount. 1 Point = 1% in calculation.</t>
      </text>
    </comment>
    <comment authorId="0" ref="C57">
      <text>
        <t xml:space="preserve">Escrow &amp; Attorney Fees Formula:
Attorney Fees - includes title insurance carry-over. 
For Attorney States use flat amount charged. For Escrow States, convert charges to a flat amount and enter them here.</t>
      </text>
    </comment>
    <comment authorId="0" ref="A82">
      <text>
        <t xml:space="preserve">Total transactional costs related to the buying phase of the transaction.</t>
      </text>
    </comment>
    <comment authorId="0" ref="A16">
      <text>
        <t xml:space="preserve">Value of the property in current "as is" condition. Not factoring repairs needed.</t>
      </text>
    </comment>
    <comment authorId="0" ref="A78">
      <text>
        <t xml:space="preserve">The dollar amount you plan to purchase the property for. Also called the "contract price."</t>
      </text>
    </comment>
    <comment authorId="0" ref="A45">
      <text>
        <t xml:space="preserve">Vacant or Occupied insurance premium charged during term of holding period and then converted to annual amount and divided by 12 to show monthly amount</t>
      </text>
    </comment>
    <comment authorId="0" ref="C45">
      <text>
        <t xml:space="preserve">Insurance Costs Formula:
Occupied = $.77/$1,000 + $500 Vacant = $6/$1,000 + $500</t>
      </text>
    </comment>
    <comment authorId="0" ref="A70">
      <text>
        <t xml:space="preserve">Costs related to offline and online advertising, printing, and promotion to advertise the property for sale.</t>
      </text>
    </comment>
    <comment authorId="0" ref="A37">
      <text>
        <t xml:space="preserve">Insert any miscellaneous Financing related costs here, you can also add more rows if necessary.</t>
      </text>
    </comment>
    <comment authorId="0" ref="A66">
      <text>
        <t xml:space="preserve">Realtor Commissions as agreed in Purchase and Sale Agreement and extra fees for transaction processing.  **This will change depending on what you negotiate with your realtor.  If you are a realtor and list your own properties, this percentage will change accordingly, as you will typically pay half the amount.</t>
      </text>
    </comment>
    <comment authorId="0" ref="A33">
      <text>
        <t xml:space="preserve">The Misc. position loan amount borrowed to purchase the property and / or fund the rehab.</t>
      </text>
    </comment>
    <comment authorId="0" ref="B66">
      <text>
        <t xml:space="preserve">Insert the % of realtor commission you will have to pay at closing. Typically 2.5-3% for buyers agent. If you have a listing agent, you will want to add 2.5-3% or whatever you negotiate as well.</t>
      </text>
    </comment>
    <comment authorId="0" ref="A29">
      <text>
        <t xml:space="preserve">The 2nd position points charged as a % of Mortgage Lien Amount. 1 Point = 1% in calculation.</t>
      </text>
    </comment>
    <comment authorId="0" ref="A58">
      <text>
        <t xml:space="preserve">Insurance Policy to insure clear and marketable title. Changes based on area, type of policy, underwriter plus costs to search for title history.
</t>
      </text>
    </comment>
    <comment authorId="0" ref="A25">
      <text>
        <t xml:space="preserve">The 1st position Interest rate and calculated interest amount based on the entire holding period.
</t>
      </text>
    </comment>
    <comment authorId="0" ref="C58">
      <text>
        <t xml:space="preserve">Title Insuranance/ Search Formula: 
$500 plus 1/4% of purchase price. Or adjust % and flat amount in formula based on your location differences</t>
      </text>
    </comment>
    <comment authorId="0" ref="A83">
      <text>
        <t xml:space="preserve">Total transactional costs related to the selling phase of the transaction.
</t>
      </text>
    </comment>
    <comment authorId="0" ref="A17">
      <text>
        <t xml:space="preserve">The dollar amount of estimated repairs based on your analysis.</t>
      </text>
    </comment>
    <comment authorId="0" ref="A79">
      <text>
        <t xml:space="preserve">The dollar amount of estimated repairs based on your analysis and assessment. </t>
      </text>
    </comment>
    <comment authorId="0" ref="A71">
      <text>
        <t xml:space="preserve">Enter any miscellaneous selling transaction costs. Insert more rows If necessary.</t>
      </text>
    </comment>
    <comment authorId="0" ref="A67">
      <text>
        <t xml:space="preserve">For the transfer of land charged by County from seller to buyer. Typically a % of the land value based on county assessor valuation.  **It's imperative you research the correct percentage for your area as it can be vastly different.</t>
      </text>
    </comment>
    <comment authorId="0" ref="A34">
      <text>
        <t xml:space="preserve">The Misc. position points charged as a % of Mortgage Lien Amount. 1 Point = 1% in calculation.</t>
      </text>
    </comment>
    <comment authorId="0" ref="B67">
      <text>
        <t xml:space="preserve">Formula:
Make sure you enter the correct % based on your area. This is different based on location!</t>
      </text>
    </comment>
  </commentList>
</comments>
</file>

<file path=xl/sharedStrings.xml><?xml version="1.0" encoding="utf-8"?>
<sst xmlns="http://schemas.openxmlformats.org/spreadsheetml/2006/main" count="1701" uniqueCount="655">
  <si>
    <t>FULL REHAB</t>
  </si>
  <si>
    <t>UP FRONT DRAW CASH FLOW SCHEDULE</t>
  </si>
  <si>
    <t>FILL THIS OUT</t>
  </si>
  <si>
    <t>COSTS</t>
  </si>
  <si>
    <t>Construction Costs</t>
  </si>
  <si>
    <t>DELAYED DRAW CASH FLOW SCHEDULE</t>
  </si>
  <si>
    <t>70% of ARV</t>
  </si>
  <si>
    <t>Purchase Price</t>
  </si>
  <si>
    <t>First Mortgage Points:</t>
  </si>
  <si>
    <t>First Mortgage Interest:</t>
  </si>
  <si>
    <t>First Mortgage Monthly Interest Only Payment:</t>
  </si>
  <si>
    <t>Property Taxes</t>
  </si>
  <si>
    <t>HOA &amp; Condo Fees</t>
  </si>
  <si>
    <t>Insurance Costs</t>
  </si>
  <si>
    <t>Utilities</t>
  </si>
  <si>
    <t>ARV (after repair value)</t>
  </si>
  <si>
    <t>Buying Transaction Costs</t>
  </si>
  <si>
    <t>Selling Transaction Costs</t>
  </si>
  <si>
    <t>average of 3 comps</t>
  </si>
  <si>
    <t>Staging Costs</t>
  </si>
  <si>
    <t>Marketing Costs</t>
  </si>
  <si>
    <t>Miscellaneous Selling Costs</t>
  </si>
  <si>
    <r>
      <rPr>
        <rFont val="Roboto Condensed"/>
        <b/>
        <color rgb="FF2DB0FE"/>
        <sz val="12.0"/>
      </rPr>
      <t>THE NUMBERS IN BLUE ARE AUTOMATICALLY CALCULATED.</t>
    </r>
    <r>
      <rPr>
        <rFont val="Roboto Condensed"/>
        <color theme="1"/>
        <sz val="12.0"/>
      </rPr>
      <t xml:space="preserve"> </t>
    </r>
    <r>
      <rPr>
        <rFont val="Roboto Condensed"/>
        <b/>
        <color rgb="FFFFF2CC"/>
        <sz val="12.0"/>
      </rPr>
      <t>THE BOXES HIGHLIGHTED IN YELLOW ARE MEANT FOR YOU TO FILL OUT!</t>
    </r>
  </si>
  <si>
    <t>Assignment Fee</t>
  </si>
  <si>
    <t xml:space="preserve">     Gas</t>
  </si>
  <si>
    <t xml:space="preserve">     Water</t>
  </si>
  <si>
    <t xml:space="preserve">     Electricity</t>
  </si>
  <si>
    <t xml:space="preserve">     Miscellaneous</t>
  </si>
  <si>
    <t xml:space="preserve">Escrow / Attorney Fees </t>
  </si>
  <si>
    <t>Square Footage</t>
  </si>
  <si>
    <t>Title Insurance/Search Costs</t>
  </si>
  <si>
    <t>Miscellaneous Buying Costs</t>
  </si>
  <si>
    <t>Selling Recording Fees</t>
  </si>
  <si>
    <t>All In Max Limit</t>
  </si>
  <si>
    <t>Realtor Fees</t>
  </si>
  <si>
    <t>Transfer &amp; Conveyance Fees</t>
  </si>
  <si>
    <t>Home Warranty</t>
  </si>
  <si>
    <t>Full Rehab</t>
  </si>
  <si>
    <t>per squre foot cost</t>
  </si>
  <si>
    <t>Net Cash In---&gt;</t>
  </si>
  <si>
    <t>Repair Costs</t>
  </si>
  <si>
    <r>
      <rPr>
        <rFont val="Roboto Condensed"/>
        <b/>
        <color rgb="FF2DB0FE"/>
        <sz val="12.0"/>
      </rPr>
      <t>THE NUMBERS IN BLUE ARE AUTOMATICALLY CALCULATED.</t>
    </r>
    <r>
      <rPr>
        <rFont val="Roboto Condensed"/>
        <color theme="1"/>
        <sz val="12.0"/>
      </rPr>
      <t xml:space="preserve"> </t>
    </r>
    <r>
      <rPr>
        <rFont val="Roboto Condensed"/>
        <b/>
        <color rgb="FFFFF2CC"/>
        <sz val="12.0"/>
      </rPr>
      <t>THE BOXES HIGHLIGHTED IN YELLOW ARE MEANT FOR YOU TO FILL OUT!</t>
    </r>
  </si>
  <si>
    <t>Medium Rehab</t>
  </si>
  <si>
    <t>Offer</t>
  </si>
  <si>
    <t>Duration Weeks</t>
  </si>
  <si>
    <t>Beginning Cash Balance ---&gt;</t>
  </si>
  <si>
    <t>Light Rehab</t>
  </si>
  <si>
    <t>% of ARV</t>
  </si>
  <si>
    <t>https://meet.google.com/qpi-ibwe-vzs</t>
  </si>
  <si>
    <t>Net Cash Out Below</t>
  </si>
  <si>
    <t>Estimated Total Costs</t>
  </si>
  <si>
    <t>MEDIUM REHAB</t>
  </si>
  <si>
    <t xml:space="preserve">Value </t>
  </si>
  <si>
    <t>Desired Outcome</t>
  </si>
  <si>
    <t>Probability of Sale</t>
  </si>
  <si>
    <t>/</t>
  </si>
  <si>
    <t>Time (Months)</t>
  </si>
  <si>
    <t>Effort</t>
  </si>
  <si>
    <t>Value</t>
  </si>
  <si>
    <t>Where they want</t>
  </si>
  <si>
    <t>Where they are</t>
  </si>
  <si>
    <t>Frequency</t>
  </si>
  <si>
    <t>Weekly</t>
  </si>
  <si>
    <t>One Time</t>
  </si>
  <si>
    <t>Monthly</t>
  </si>
  <si>
    <t xml:space="preserve"> Cash In Source</t>
  </si>
  <si>
    <t>LIGHT REHAB</t>
  </si>
  <si>
    <t>Week</t>
  </si>
  <si>
    <t>Amount</t>
  </si>
  <si>
    <t>Cash In to the Project During this Week</t>
  </si>
  <si>
    <t>Balance @ End of Week</t>
  </si>
  <si>
    <t>Expenses Required</t>
  </si>
  <si>
    <t>Lender Purchase Loan</t>
  </si>
  <si>
    <t>PROPERTY INFORMATION</t>
  </si>
  <si>
    <t xml:space="preserve">Property Address: </t>
  </si>
  <si>
    <t>Easy Enough: Just fill in all the blue cells while reviewing a property and the results will populate throughout the sheet!</t>
  </si>
  <si>
    <t>Lender Draw 1 at 1%</t>
  </si>
  <si>
    <t>Rent Growth Calculator</t>
  </si>
  <si>
    <t>Sale Price</t>
  </si>
  <si>
    <t>Total Square Footage:</t>
  </si>
  <si>
    <t>Tax Value</t>
  </si>
  <si>
    <t>Current Pro Forma Analysis</t>
  </si>
  <si>
    <t>5 Year Debt Paydown Summary</t>
  </si>
  <si>
    <t>Does it qualify for a commercial loan?</t>
  </si>
  <si>
    <t>Rent Growth Rate:</t>
  </si>
  <si>
    <t>CUURENT RATE ANALYSIS</t>
  </si>
  <si>
    <t># of Units</t>
  </si>
  <si>
    <t>Debt Coverage Ratio Required:</t>
  </si>
  <si>
    <t>Market Rent (Year 1):</t>
  </si>
  <si>
    <t>Lender Draw 2 at 33%</t>
  </si>
  <si>
    <t>Unit Breakdown</t>
  </si>
  <si>
    <t>Item</t>
  </si>
  <si>
    <t>$/Mo.</t>
  </si>
  <si>
    <t>Occupied?</t>
  </si>
  <si>
    <t>Mortgage Calculator</t>
  </si>
  <si>
    <t>Year</t>
  </si>
  <si>
    <t>Figure</t>
  </si>
  <si>
    <t>Unit #</t>
  </si>
  <si>
    <t>#Beds</t>
  </si>
  <si>
    <t>#Baths</t>
  </si>
  <si>
    <t>Rent/Mo</t>
  </si>
  <si>
    <t>Market Rent</t>
  </si>
  <si>
    <t>Gross Rents</t>
  </si>
  <si>
    <t>Lender Draw 3 at 66%</t>
  </si>
  <si>
    <t>PROPERTY VALUES/PRICING</t>
  </si>
  <si>
    <t>Total Debt Paydown</t>
  </si>
  <si>
    <t>Lender Draw 1 at 25%</t>
  </si>
  <si>
    <t>DEAL SUMMARY &amp; POTENTIAL PROFIT</t>
  </si>
  <si>
    <t>Property Sale</t>
  </si>
  <si>
    <t>Assumption</t>
  </si>
  <si>
    <t>Estimated Hold Time  months :</t>
  </si>
  <si>
    <t>Pro Forma</t>
  </si>
  <si>
    <t>Actual</t>
  </si>
  <si>
    <t>End of Year:</t>
  </si>
  <si>
    <t>Current "As-Is" Value:</t>
  </si>
  <si>
    <t>Total Financing Costs:</t>
  </si>
  <si>
    <t>Property Management</t>
  </si>
  <si>
    <t>Lender Draw 2 at 50%</t>
  </si>
  <si>
    <t>Loan to Value Ratio</t>
  </si>
  <si>
    <t>ROI</t>
  </si>
  <si>
    <t>Purchase Price:</t>
  </si>
  <si>
    <t>Purchase Loan Repayment</t>
  </si>
  <si>
    <t>ROI on Paydown</t>
  </si>
  <si>
    <t>Total Holding Costs</t>
  </si>
  <si>
    <t>Cash Invested</t>
  </si>
  <si>
    <t>Lender Draw 3 at 75%</t>
  </si>
  <si>
    <t>Estimated Repair Costs:</t>
  </si>
  <si>
    <t>Total Buying Transaction Costs:</t>
  </si>
  <si>
    <t>Construction Loan Repayment</t>
  </si>
  <si>
    <t>Cash Return</t>
  </si>
  <si>
    <t>After Repair Value:</t>
  </si>
  <si>
    <t>Total Selling Transaction Costs:</t>
  </si>
  <si>
    <t>ROI on Cash</t>
  </si>
  <si>
    <t>PURCHSE AND REPAIR COSTS:</t>
  </si>
  <si>
    <t>Down Payment</t>
  </si>
  <si>
    <t>ESTIMATED NET PROFIT:</t>
  </si>
  <si>
    <t>Vacancy</t>
  </si>
  <si>
    <t>Time to Return</t>
  </si>
  <si>
    <t>Other Expense 1</t>
  </si>
  <si>
    <t xml:space="preserve">
</t>
  </si>
  <si>
    <t>FINANCING PROJECTION</t>
  </si>
  <si>
    <t>Insurance</t>
  </si>
  <si>
    <t>HOLDING COSTS</t>
  </si>
  <si>
    <t>Closing Costs</t>
  </si>
  <si>
    <t>Rate</t>
  </si>
  <si>
    <t>Amount Paid</t>
  </si>
  <si>
    <t>Annualized</t>
  </si>
  <si>
    <t>First Mortgage / Lien Amount:</t>
  </si>
  <si>
    <t>Prop Mgmt</t>
  </si>
  <si>
    <t>Other Expense 2</t>
  </si>
  <si>
    <t>Owner-Paid Utilities</t>
  </si>
  <si>
    <t>Principal</t>
  </si>
  <si>
    <t>Other Expense 3</t>
  </si>
  <si>
    <t>Cash Reserves</t>
  </si>
  <si>
    <t>Vacancy Reserve</t>
  </si>
  <si>
    <t>Interest Rate</t>
  </si>
  <si>
    <t>Other Expense 4</t>
  </si>
  <si>
    <t>Second Mortgage / Lien Amount:</t>
  </si>
  <si>
    <t>Taxes (actual)</t>
  </si>
  <si>
    <t>Second Mortgage Points:</t>
  </si>
  <si>
    <t>Other Expense 5</t>
  </si>
  <si>
    <t>Second Mortgage Interest:</t>
  </si>
  <si>
    <t>Maintenance Reserve</t>
  </si>
  <si>
    <t>Second Mortgage Monthly Interest Only Payment:</t>
  </si>
  <si>
    <t xml:space="preserve">Term (Years) </t>
  </si>
  <si>
    <t>Insurance (actual)</t>
  </si>
  <si>
    <t>Misc. Mortgage / Lien Amount:</t>
  </si>
  <si>
    <t>Total Operating Expenses</t>
  </si>
  <si>
    <t xml:space="preserve">Total Maintenance Costs </t>
  </si>
  <si>
    <t xml:space="preserve">Monthly Mortgage </t>
  </si>
  <si>
    <t>Misc. Mortgage Points:</t>
  </si>
  <si>
    <t>Miscellaneous Holding Costs</t>
  </si>
  <si>
    <t>Misc. Mortgage Interest:</t>
  </si>
  <si>
    <t>Maintenance + Utilities</t>
  </si>
  <si>
    <t>Misc. Mortgage Monthly Interest Only Payment:</t>
  </si>
  <si>
    <t>Miscellaneous Financing Costs:</t>
  </si>
  <si>
    <t>TOTAL FINANCING COSTS:</t>
  </si>
  <si>
    <t>TOTAL HOLDING COSTS:</t>
  </si>
  <si>
    <t>Monthly NOI</t>
  </si>
  <si>
    <t>BUYING TRANSACTION COSTS</t>
  </si>
  <si>
    <t>NOTES</t>
  </si>
  <si>
    <t>Monthly Net</t>
  </si>
  <si>
    <t>% of Price</t>
  </si>
  <si>
    <t>Total</t>
  </si>
  <si>
    <t>Total Expenses</t>
  </si>
  <si>
    <t>Expected ROI in Delayed Draw Scenario</t>
  </si>
  <si>
    <t>Cash to Cover Delayed Draw</t>
  </si>
  <si>
    <t>Actual Delayed Draw ROI</t>
  </si>
  <si>
    <t>Title Insurance / Search Costs</t>
  </si>
  <si>
    <t>Annualized NOI</t>
  </si>
  <si>
    <t>Annualized Net</t>
  </si>
  <si>
    <t>NOI</t>
  </si>
  <si>
    <t>Capitalization Rate</t>
  </si>
  <si>
    <t>SELLING TRANSACTION COSTS</t>
  </si>
  <si>
    <t>Annualized ROI</t>
  </si>
  <si>
    <t>Mortgage</t>
  </si>
  <si>
    <t>Escrow / Attorney Fees</t>
  </si>
  <si>
    <t>Stabilized pro forma analysis</t>
  </si>
  <si>
    <t>Five Year Tax Deduction Summary</t>
  </si>
  <si>
    <t>Debt Coverage Ratio</t>
  </si>
  <si>
    <t>Expected ROI in Up Front Draw Scenario</t>
  </si>
  <si>
    <t>Cash to Cover Up Front Draw</t>
  </si>
  <si>
    <t>Actual Upfront Draw ROI</t>
  </si>
  <si>
    <t>MARKET RATE ANALYSIS</t>
  </si>
  <si>
    <t>Improved Value: Assessed Value Ratio (%)</t>
  </si>
  <si>
    <t>Net Profit</t>
  </si>
  <si>
    <t>Marginal Tax Rate</t>
  </si>
  <si>
    <t>Average Annualized % Appreciation</t>
  </si>
  <si>
    <t>Assumed Rate:</t>
  </si>
  <si>
    <t>Depreciation (Straight Line)</t>
  </si>
  <si>
    <t xml:space="preserve">Total Interest Paid </t>
  </si>
  <si>
    <t>Est. Value</t>
  </si>
  <si>
    <t>Annual Gain</t>
  </si>
  <si>
    <t>%  Gain</t>
  </si>
  <si>
    <t>Total Deductions</t>
  </si>
  <si>
    <t>Totals</t>
  </si>
  <si>
    <t>Monthly Mortgage</t>
  </si>
  <si>
    <t>Expenses</t>
  </si>
  <si>
    <t>Property Tax/Yr</t>
  </si>
  <si>
    <t>Downpayment (%)</t>
  </si>
  <si>
    <t>Discount</t>
  </si>
  <si>
    <t>Total Return (% of initial investment)</t>
  </si>
  <si>
    <t>Insurance/Mo</t>
  </si>
  <si>
    <t>Interest Rate (%)</t>
  </si>
  <si>
    <t>Gas &amp; Electric/Mo</t>
  </si>
  <si>
    <t>Loan Term (Years)</t>
  </si>
  <si>
    <t>Source of Gain</t>
  </si>
  <si>
    <t>Water/Mo</t>
  </si>
  <si>
    <t>Estimated 1% for closing</t>
  </si>
  <si>
    <t>Cash flow</t>
  </si>
  <si>
    <t>Sewer/Mo</t>
  </si>
  <si>
    <t>Debt Paydown</t>
  </si>
  <si>
    <t>Garbage/Mo</t>
  </si>
  <si>
    <t>TOTAL</t>
  </si>
  <si>
    <t>Tax Savings</t>
  </si>
  <si>
    <t>Excess Cash Profit (Loss) ---&gt;</t>
  </si>
  <si>
    <t>Ending Bank Balance ---&gt;</t>
  </si>
  <si>
    <t>Unaccounted Costs --&gt;</t>
  </si>
  <si>
    <t>Lawn and Snow</t>
  </si>
  <si>
    <t>Appreciation</t>
  </si>
  <si>
    <t>Management (%)</t>
  </si>
  <si>
    <t>Avg Yearly Tax Savings</t>
  </si>
  <si>
    <t>Total ROI</t>
  </si>
  <si>
    <t>Section</t>
  </si>
  <si>
    <t>Field Name</t>
  </si>
  <si>
    <t>Current Value</t>
  </si>
  <si>
    <t>Manual/Formula</t>
  </si>
  <si>
    <t>Where to find the information?</t>
  </si>
  <si>
    <t>Manual</t>
  </si>
  <si>
    <t>Vacancy (%)</t>
  </si>
  <si>
    <t>INTERNAL ONLY</t>
  </si>
  <si>
    <t>% Annual ROI on Tax Savings</t>
  </si>
  <si>
    <t>Total $ Return</t>
  </si>
  <si>
    <t xml:space="preserve">PROPERTY VALUES/PRICING              </t>
  </si>
  <si>
    <t>Contractor + Realtor</t>
  </si>
  <si>
    <t>Formula</t>
  </si>
  <si>
    <t xml:space="preserve">- - - - - - - - - - - - - - - - - - - - - - - </t>
  </si>
  <si>
    <t>Tax Assessment</t>
  </si>
  <si>
    <t>------------</t>
  </si>
  <si>
    <t>Purchase Agreement/ or estimate</t>
  </si>
  <si>
    <t>Maintenance (%)</t>
  </si>
  <si>
    <t>Quotes from Handymen/ General Contractor</t>
  </si>
  <si>
    <t>Comparative Analysis or Apprasial</t>
  </si>
  <si>
    <t xml:space="preserve">First Mortgage / Lien Amount:  Amount </t>
  </si>
  <si>
    <t>Hard Money or Private Lender/ Mortgage Broker/ Friend</t>
  </si>
  <si>
    <t xml:space="preserve">First Mortgage Points:  Rate </t>
  </si>
  <si>
    <t xml:space="preserve">First Mortgage Interest:  Rate </t>
  </si>
  <si>
    <t xml:space="preserve">First Mortgage Monthly Interest Only Payment:  Rate </t>
  </si>
  <si>
    <t xml:space="preserve">Second Mortgage / Lien Amount:  Rate </t>
  </si>
  <si>
    <t xml:space="preserve">Second Mortgage Points:  Rate </t>
  </si>
  <si>
    <t xml:space="preserve">Second Mortgage Interest:  Rate </t>
  </si>
  <si>
    <t xml:space="preserve">Second Mortgage Monthly Interest Only Payment:  Rate </t>
  </si>
  <si>
    <t xml:space="preserve">Misc. Mortgage / Lien Amount:  Rate </t>
  </si>
  <si>
    <t xml:space="preserve">Misc. Mortgage Points:  Rate </t>
  </si>
  <si>
    <t xml:space="preserve">Misc. Mortgage Interest:  Rate </t>
  </si>
  <si>
    <t xml:space="preserve">Misc. Mortgage Monthly Interest Only Payment:  Rate </t>
  </si>
  <si>
    <t xml:space="preserve">Miscellaneous Financing Costs:  Rate </t>
  </si>
  <si>
    <t xml:space="preserve">First Mortgage / Lien Amount:  Amount Paid </t>
  </si>
  <si>
    <t xml:space="preserve">First Mortgage Points:  Amount Paid </t>
  </si>
  <si>
    <t xml:space="preserve">First Mortgage Interest:  Amount Paid </t>
  </si>
  <si>
    <t xml:space="preserve">First Mortgage Monthly Interest Only Payment:  Amount Paid </t>
  </si>
  <si>
    <t xml:space="preserve">Second Mortgage / Lien Amount:  Amount Paid </t>
  </si>
  <si>
    <t xml:space="preserve">Second Mortgage Points:  Amount Paid </t>
  </si>
  <si>
    <t xml:space="preserve">Second Mortgage Interest:  Amount Paid </t>
  </si>
  <si>
    <t xml:space="preserve">Second Mortgage Monthly Interest Only Payment:  Amount Paid </t>
  </si>
  <si>
    <t xml:space="preserve">Misc. Mortgage / Lien Amount:  Amount Paid </t>
  </si>
  <si>
    <t xml:space="preserve">Misc. Mortgage Points:  Amount Paid </t>
  </si>
  <si>
    <t xml:space="preserve">Misc. Mortgage Interest:  Amount Paid </t>
  </si>
  <si>
    <t xml:space="preserve">Misc. Mortgage Monthly Interest Only Payment:  Amount Paid </t>
  </si>
  <si>
    <t xml:space="preserve">Miscellaneous Financing Costs:  Amount Paid </t>
  </si>
  <si>
    <t xml:space="preserve">Property Taxes  Rate </t>
  </si>
  <si>
    <t xml:space="preserve">County or City Website  Local Municipality  </t>
  </si>
  <si>
    <t xml:space="preserve">HOA &amp; Condo Fees  Monthly Amount </t>
  </si>
  <si>
    <t>HOA</t>
  </si>
  <si>
    <t xml:space="preserve">Insurance Costs  Monthly Amount </t>
  </si>
  <si>
    <t>Insurance Broker</t>
  </si>
  <si>
    <t xml:space="preserve">Utilities  Monthly Amount </t>
  </si>
  <si>
    <t>Utility Company Website</t>
  </si>
  <si>
    <t xml:space="preserve">     Gas  Monthly Amount </t>
  </si>
  <si>
    <t xml:space="preserve">     Water  Monthly Amount </t>
  </si>
  <si>
    <t xml:space="preserve">     Electricity  Monthly Amount </t>
  </si>
  <si>
    <t xml:space="preserve">     Miscellaneous  Monthly Amount </t>
  </si>
  <si>
    <t xml:space="preserve">Property Taxes  Annualized </t>
  </si>
  <si>
    <t xml:space="preserve">HOA &amp; Condo Fees  Annualized </t>
  </si>
  <si>
    <t xml:space="preserve">Insurance Costs  Annualized </t>
  </si>
  <si>
    <t xml:space="preserve">Utilities  Annualized </t>
  </si>
  <si>
    <t xml:space="preserve">     Gas  Annualized </t>
  </si>
  <si>
    <t xml:space="preserve">     Water  Annualized </t>
  </si>
  <si>
    <t xml:space="preserve">     Electricity  Annualized </t>
  </si>
  <si>
    <t xml:space="preserve">     Miscellaneous  Annualized </t>
  </si>
  <si>
    <t xml:space="preserve">Miscellaneous Holding Costs  Annualized </t>
  </si>
  <si>
    <t>Miscellaneous</t>
  </si>
  <si>
    <t xml:space="preserve">TOTAL HOLDING COSTS: </t>
  </si>
  <si>
    <t xml:space="preserve">Escrow / Attorney Fees   Rate </t>
  </si>
  <si>
    <t>The Attorney</t>
  </si>
  <si>
    <t xml:space="preserve">Title Insurance / Search Costs  Rate </t>
  </si>
  <si>
    <t>Title Company</t>
  </si>
  <si>
    <t xml:space="preserve">Miscellaneous Buying Costs  Rate </t>
  </si>
  <si>
    <t xml:space="preserve">Miscellaneous </t>
  </si>
  <si>
    <t xml:space="preserve">Escrow / Attorney Fees   Annualized </t>
  </si>
  <si>
    <t xml:space="preserve">Title Insurance / Search Costs  Annualized </t>
  </si>
  <si>
    <t xml:space="preserve">Miscellaneous Buying Costs  Annualized </t>
  </si>
  <si>
    <t xml:space="preserve">Selling Recording Fees  Rate </t>
  </si>
  <si>
    <t xml:space="preserve">Realtor Fees  Rate </t>
  </si>
  <si>
    <t xml:space="preserve">Transfer &amp; Conveyance Fees  Rate </t>
  </si>
  <si>
    <t>Local City or State Municipality</t>
  </si>
  <si>
    <t xml:space="preserve">Selling Recording Fees  Annualized </t>
  </si>
  <si>
    <t xml:space="preserve">Realtor Fees  Annualized </t>
  </si>
  <si>
    <t xml:space="preserve">Transfer &amp; Conveyance Fees  Annualized </t>
  </si>
  <si>
    <t xml:space="preserve">Home Warranty  Annualized </t>
  </si>
  <si>
    <t xml:space="preserve">Staging Costs  Annualized </t>
  </si>
  <si>
    <t xml:space="preserve">Marketing Costs  Annualized </t>
  </si>
  <si>
    <t xml:space="preserve">Miscellaneous Selling Costs  Annualized </t>
  </si>
  <si>
    <t>Notes</t>
  </si>
  <si>
    <t>NADA</t>
  </si>
  <si>
    <t>How Much You wanna Make</t>
  </si>
  <si>
    <t>Name</t>
  </si>
  <si>
    <t>Property</t>
  </si>
  <si>
    <t>Address + Potential Profit = "$$,$$$"</t>
  </si>
  <si>
    <t>Estimated 3% for closing</t>
  </si>
  <si>
    <t xml:space="preserve">Real Property Analysis </t>
  </si>
  <si>
    <t>Date:</t>
  </si>
  <si>
    <t xml:space="preserve">Evaluator Name: </t>
  </si>
  <si>
    <t>Property Address:</t>
  </si>
  <si>
    <t>Margaret Avenue Essex, MD 21221</t>
  </si>
  <si>
    <t># of Units:</t>
  </si>
  <si>
    <t xml:space="preserve">Occupied?  Y/N </t>
  </si>
  <si>
    <t>N</t>
  </si>
  <si>
    <t xml:space="preserve">Property Description: Detached home in Essex with 3 bedrooms on the 1st floor &amp; loft bedroom
on the 2nd floor. Large yard with off-street parking &amp; separate
garage
</t>
  </si>
  <si>
    <t>After Repair Value</t>
  </si>
  <si>
    <t>Current "As Is" Value</t>
  </si>
  <si>
    <t>Estimated Repair Costs</t>
  </si>
  <si>
    <t xml:space="preserve">Estimated Hold Time  months </t>
  </si>
  <si>
    <t>PURCHASE and REPAIR COSTS</t>
  </si>
  <si>
    <t>PROJECT FINANCING COSTS</t>
  </si>
  <si>
    <t>First Mortgage / Lien Amount</t>
  </si>
  <si>
    <t>First Mortgage Points</t>
  </si>
  <si>
    <t>First Mortgage Interest</t>
  </si>
  <si>
    <t>First Mortgage Monthly Interest Only Payment</t>
  </si>
  <si>
    <t>Second Mortgage / Lien Amount</t>
  </si>
  <si>
    <t>Second Mortgage Points</t>
  </si>
  <si>
    <t>Second Mortgage Interest</t>
  </si>
  <si>
    <t>Second Mortgage Monthly Interest Only Payment</t>
  </si>
  <si>
    <t>Misc. Mortgage / Lien Amount</t>
  </si>
  <si>
    <t>Misc. Mortgage Points</t>
  </si>
  <si>
    <t>Misc. Mortgage Interest</t>
  </si>
  <si>
    <t>Misc. Mortgage Monthly Interest Only Payment</t>
  </si>
  <si>
    <t>Miscellaneous Financing Costs</t>
  </si>
  <si>
    <t>TOTAL FINANCING COSTS</t>
  </si>
  <si>
    <t xml:space="preserve">Total Utility Costs </t>
  </si>
  <si>
    <t>TOTAL MONTHLY HOLDING COSTS</t>
  </si>
  <si>
    <t>% of Purchase</t>
  </si>
  <si>
    <t>TOTAL BUYING TRANSACTION COSTS</t>
  </si>
  <si>
    <t xml:space="preserve">TOTAL SELLING TRANSACTION COSTS </t>
  </si>
  <si>
    <t>ESTIMATED NET PROFIT and ROI SNAPSHOT</t>
  </si>
  <si>
    <t xml:space="preserve">After Repair Value </t>
  </si>
  <si>
    <t>Total Financing Costs</t>
  </si>
  <si>
    <t>Total Buying Transaction Costs</t>
  </si>
  <si>
    <t>Total Selling Transaction Costs</t>
  </si>
  <si>
    <t>ESTIMATED NET PROFIT</t>
  </si>
  <si>
    <t xml:space="preserve">TOTAL COSTS RETURN ON INVESTMENT  ROI </t>
  </si>
  <si>
    <t>POTENTIAL RETURN &amp; PROFIT ANALYSIS</t>
  </si>
  <si>
    <t xml:space="preserve">Assumes Sale is on or before </t>
  </si>
  <si>
    <t>Purchase + Repair Estimate Cost Per Sq. Ft</t>
  </si>
  <si>
    <t>Down Payment Required at Closing</t>
  </si>
  <si>
    <t>My Committed Capital</t>
  </si>
  <si>
    <t xml:space="preserve">Purchase + Rehab Return on Investment  ROI </t>
  </si>
  <si>
    <t xml:space="preserve">ESTIMATED RETURN ON INVESTMENT </t>
  </si>
  <si>
    <t>7800 Block of Bagley Avenue, Parkville, MD 21234</t>
  </si>
  <si>
    <t>https://docs.google.com/document/d/1nlNMYw44OTGcmdOozJGbRqV0EkmI2NJo40TqVi59hRg/edit</t>
  </si>
  <si>
    <t>Sections</t>
  </si>
  <si>
    <t>Need a Roof?</t>
  </si>
  <si>
    <t>Does This House Need a Roof?</t>
  </si>
  <si>
    <t>Yes/No</t>
  </si>
  <si>
    <t>Is this a single family or a multi unit?</t>
  </si>
  <si>
    <t>Single/Multi</t>
  </si>
  <si>
    <t>Shingles?</t>
  </si>
  <si>
    <t>1 Layer Low/1 Layer High</t>
  </si>
  <si>
    <t>Need Windows?</t>
  </si>
  <si>
    <t>Garage Repair?</t>
  </si>
  <si>
    <t>Does this House Need Exterion Paint/Siding?</t>
  </si>
  <si>
    <t>Yard Cleaned/Landscapes</t>
  </si>
  <si>
    <t>Heating or Furnaces Need Replacing?</t>
  </si>
  <si>
    <t>Plumbimg need Repair?</t>
  </si>
  <si>
    <t>Electrical Need Repair</t>
  </si>
  <si>
    <t>Foundation Need Repair?</t>
  </si>
  <si>
    <t>Basement Need Repair?</t>
  </si>
  <si>
    <t>Need Interior Paint</t>
  </si>
  <si>
    <t>House Need Carpet?</t>
  </si>
  <si>
    <t>House Need Tile/Vinyl</t>
  </si>
  <si>
    <t>Floor need to be sanded?</t>
  </si>
  <si>
    <t>Unit 1 Kitchen Need Repair</t>
  </si>
  <si>
    <t>Unit 2 Kitcken Need Repair?</t>
  </si>
  <si>
    <t>Unit 3 Kitchen Need Repair?</t>
  </si>
  <si>
    <t>Kitchen Need Appliances?</t>
  </si>
  <si>
    <t>Unit 1 Bath need Repair?</t>
  </si>
  <si>
    <t>Unit 2 Bath need Repair?</t>
  </si>
  <si>
    <t>Unit 3 Bath need Repair?</t>
  </si>
  <si>
    <t>Sheetrock damaged or Need Replacing?</t>
  </si>
  <si>
    <t>Dumpsters</t>
  </si>
  <si>
    <t>Decks</t>
  </si>
  <si>
    <t>* this property is just under 1k sq ft.</t>
  </si>
  <si>
    <t xml:space="preserve">Address: Bagley Avenue </t>
  </si>
  <si>
    <t>This is a detached property with off-street parking, full basement,
sunroom off the rear and 2nd floor loft bedroom that can has space to
create a potential master suite with bathroom.  Sold AS-IS.</t>
  </si>
  <si>
    <t>Yes</t>
  </si>
  <si>
    <t>No</t>
  </si>
  <si>
    <t>TOTAL ESTIMATED REPAIR COST</t>
  </si>
  <si>
    <t>Home Renovation Cost Estimates</t>
  </si>
  <si>
    <t>Inspections Checklist</t>
  </si>
  <si>
    <t>Repair Cost Calculations</t>
  </si>
  <si>
    <t>Repair Cost</t>
  </si>
  <si>
    <t>https://homeguide.com/costs/house-remodeling-cost</t>
  </si>
  <si>
    <t>Single?</t>
  </si>
  <si>
    <t>Definition</t>
  </si>
  <si>
    <t xml:space="preserve">Full Roof  Multi Unit </t>
  </si>
  <si>
    <t>Header</t>
  </si>
  <si>
    <t>The address of the property you want to analyze</t>
  </si>
  <si>
    <t xml:space="preserve">1 Layer of Shingles Added  Low </t>
  </si>
  <si>
    <t>The total square footage of the entire interior of the property</t>
  </si>
  <si>
    <t xml:space="preserve">Name of the evaluator. </t>
  </si>
  <si>
    <t xml:space="preserve">1 Layer of Shingles Added  High </t>
  </si>
  <si>
    <t>Exterion Paint/Siding?</t>
  </si>
  <si>
    <t>Property Description</t>
  </si>
  <si>
    <t xml:space="preserve">Key details and attributes about the property including differentiators, # of garage spaces, levels, layout, property type, etc. </t>
  </si>
  <si>
    <t>Property Values / Pricing</t>
  </si>
  <si>
    <t>Paint Single Fam Home</t>
  </si>
  <si>
    <t>Section to enter property value and purchase figures for helping calculate profit</t>
  </si>
  <si>
    <t>@40,600 which is based on 1200 sq ft.</t>
  </si>
  <si>
    <t xml:space="preserve">Value of the property after all repairs have been made regardless of purchase price. Also known as "Fair Market Value" </t>
  </si>
  <si>
    <t>Paint Multi Fam  Low  1500sq ft</t>
  </si>
  <si>
    <t>Current Value "As Is"</t>
  </si>
  <si>
    <t>Value of the property in current "as is" condition. Not factoring repairs needed.</t>
  </si>
  <si>
    <t>Paint Multi Fam  Low  3000sq ft</t>
  </si>
  <si>
    <t>The dollar amount of estimated repairs based on your analysis</t>
  </si>
  <si>
    <t>Sinding Single Fam  Low  1500sq ft</t>
  </si>
  <si>
    <t>The dollar amount you plan to purchase the property for</t>
  </si>
  <si>
    <t>Siding Multi Fam  Low  3000sq ft</t>
  </si>
  <si>
    <t>Estimated number of months you plan to own the property from purchase date to close of escrow sale date</t>
  </si>
  <si>
    <t>Financing Costs</t>
  </si>
  <si>
    <t>Section to enter the different amounts you will borrow to purchase the property.</t>
  </si>
  <si>
    <t>Cost/Window</t>
  </si>
  <si>
    <t>The 1st position loan amount borrowed to purchase the property and / or fund the rehab</t>
  </si>
  <si>
    <t>The 1st position points charged as a % of Mortgage Lien Amount. 1 Point = 1% in calculation.</t>
  </si>
  <si>
    <t>Garage Door</t>
  </si>
  <si>
    <t>First Mortgage Interest Rate</t>
  </si>
  <si>
    <t>The 1st position Interest rate for amount borrowed to purchase the property and / or fund the rehab</t>
  </si>
  <si>
    <t>Reframe Stucture</t>
  </si>
  <si>
    <t xml:space="preserve">The 1st position Interest only monthly payment amount if required by lender. </t>
  </si>
  <si>
    <t>1 Car Garage Paint</t>
  </si>
  <si>
    <t>2 Car Garage Paint</t>
  </si>
  <si>
    <t>The 2nd position loan amount borrowed to purchase the property and / or fund the rehab</t>
  </si>
  <si>
    <t>Roof</t>
  </si>
  <si>
    <t>The 2nd position points charged as a % of Mortgage Lien Amount. 1 Point = 1% in calculation.</t>
  </si>
  <si>
    <t xml:space="preserve">Clean Yard  Easy </t>
  </si>
  <si>
    <t>Second Mortgage Interest Rate</t>
  </si>
  <si>
    <t>The 2nd position Interest rate for amount borrowed to purchase the property and / or fund the rehab</t>
  </si>
  <si>
    <t xml:space="preserve">The 2nd position Interest only monthly payment amount if required by lender. </t>
  </si>
  <si>
    <t xml:space="preserve">Clean Yard  Hard </t>
  </si>
  <si>
    <t>The misc. position loan amount borrowed to purchase the property and/or fund the rehab.</t>
  </si>
  <si>
    <t xml:space="preserve">Landscape  Easy </t>
  </si>
  <si>
    <t>The Misc. position points charged as a % of Mortgage Lien Amount. 1 Point = 1% in calculation.</t>
  </si>
  <si>
    <t>Misc. Mortgage Interest Rate</t>
  </si>
  <si>
    <t xml:space="preserve">The misc. position Interest rate for amount borrowed to purchase the property and/or fund the rehab. </t>
  </si>
  <si>
    <t xml:space="preserve">Landscape  Hard </t>
  </si>
  <si>
    <t>Misc. Mortgage Interest Only Payment</t>
  </si>
  <si>
    <t xml:space="preserve">The misc. position Interest only monthly payment amount if required by lender. </t>
  </si>
  <si>
    <t>Replace Furnace</t>
  </si>
  <si>
    <t>Financing Origination Costs**</t>
  </si>
  <si>
    <t>Financing Origination Costs - for a mortgage approximately 1% of purchase price plus $1,000</t>
  </si>
  <si>
    <t xml:space="preserve">Any custom costs related to Financing. </t>
  </si>
  <si>
    <t>Replace Hot Water Heater</t>
  </si>
  <si>
    <t>Holding Costs</t>
  </si>
  <si>
    <t>Section to enter costs related to time property is held. Costs are typically tracked and calculated on a monthly basis</t>
  </si>
  <si>
    <t>Install Zone Baseboard Heater Gut Job</t>
  </si>
  <si>
    <t>Use default or enter the actual Annualized property taxes as reported on the county tax assessors website or enter an estimate, or use the default values stored</t>
  </si>
  <si>
    <t>New Plumbimg/Floor</t>
  </si>
  <si>
    <t>Project Financing Projection</t>
  </si>
  <si>
    <t>HOA / Condo Fees</t>
  </si>
  <si>
    <t>Use default or enter the Home Owner Association fees typically charged monthly.</t>
  </si>
  <si>
    <t xml:space="preserve">Insurance Costs  Vacant </t>
  </si>
  <si>
    <t>New Panel</t>
  </si>
  <si>
    <t>Use default or enter the Vacant property insurance premium typically billed monthly. Typically more expensive than Occupied insurance.</t>
  </si>
  <si>
    <t># of Floor Fixtures That needs new Fixtures</t>
  </si>
  <si>
    <t xml:space="preserve">Insurance Costs  Occupied </t>
  </si>
  <si>
    <t>Use default or enter the Occupied property insurance premium typically billed monthly. Typically less expensive than Vacant insurance.</t>
  </si>
  <si>
    <t xml:space="preserve"> #of floors  Rewire House w/ New Service</t>
  </si>
  <si>
    <t>Utility Costs</t>
  </si>
  <si>
    <t xml:space="preserve">Combined value for gas, electricity, water utilities. </t>
  </si>
  <si>
    <t>Reframe Support Beam</t>
  </si>
  <si>
    <t xml:space="preserve">Enter any custom costs related to holding the property. </t>
  </si>
  <si>
    <t>Seal Basement</t>
  </si>
  <si>
    <t>Section for entering and tracking buying transaction costs</t>
  </si>
  <si>
    <t xml:space="preserve"> # of 5yard Increments  Pour Concrete Floor</t>
  </si>
  <si>
    <t xml:space="preserve">Fees charged by attorney or escrow company at closing. Typically a % of sales price.  Make sure you use appropriate formula based on if you are in an Attorney or Escrow state. </t>
  </si>
  <si>
    <t>Replace Stairwell</t>
  </si>
  <si>
    <t>Jack 1 Support Beam</t>
  </si>
  <si>
    <t>Title Insurance / Title Search Costs</t>
  </si>
  <si>
    <t>Policy to insure clear and marketable title. Changes based on area, type of policy, underwriter</t>
  </si>
  <si>
    <t xml:space="preserve"> # of square FT </t>
  </si>
  <si>
    <t xml:space="preserve">Enter any custom costs related to Buying transactions. </t>
  </si>
  <si>
    <t>Sellling Transaction Costs</t>
  </si>
  <si>
    <t>Single Family 1500 sf ft</t>
  </si>
  <si>
    <t>Section for entering and tracking selling transaction costs</t>
  </si>
  <si>
    <t>Three Family Home 3000 sq ft</t>
  </si>
  <si>
    <t>Fees taken from the HUD-1 County recorders fees charged by escrow company</t>
  </si>
  <si>
    <t>Single Family Carpet</t>
  </si>
  <si>
    <t>Commissions paid to realtors involved as part of the transaction</t>
  </si>
  <si>
    <t>Three Family Home</t>
  </si>
  <si>
    <t>Conveyance / Transfer Fees</t>
  </si>
  <si>
    <t>For the transfer of land charged by County from seller to buyer. Typically a % of the land value based on county assessor valuation</t>
  </si>
  <si>
    <t>Offers protection for mechanical systems and attached appliances against unexpected repairs not covered by homeowner's insurance; overage extends over a specific time period and does not cover the home's structure</t>
  </si>
  <si>
    <t>1 Unit Carpet  500 sq ft : $500 Carpet Rule:Sq ft. / 9 x $10=Cost</t>
  </si>
  <si>
    <t xml:space="preserve">Cost for getting property ready to sell by bringing in home furnishings. </t>
  </si>
  <si>
    <t>1 Kitchen Vinyl tiles  10x10  = $700</t>
  </si>
  <si>
    <t>Costs related to offline and online advertising, printing, and promotion to help sell the property.</t>
  </si>
  <si>
    <t xml:space="preserve">Enter any custom costs related to Selling transactions. </t>
  </si>
  <si>
    <t>Hardwood Install = $7.00 sq/ft Sand &amp; Refinish= $2.75sq/ft</t>
  </si>
  <si>
    <t>Deal Summary &amp; Potential Profit</t>
  </si>
  <si>
    <t>Section breaks down the revenue and expenses of the entire project</t>
  </si>
  <si>
    <t>Single Fam Rental</t>
  </si>
  <si>
    <r>
      <rPr>
        <rFont val="Arial"/>
        <color theme="1"/>
        <sz val="10.0"/>
      </rPr>
      <t xml:space="preserve">
</t>
    </r>
    <r>
      <rPr>
        <rFont val="Stencil"/>
        <color theme="1"/>
        <sz val="18.0"/>
      </rPr>
      <t>PROPERTY REPAIR ESTIMATE SHEET</t>
    </r>
  </si>
  <si>
    <t>The dollar amount you plan to purchase the property for.</t>
  </si>
  <si>
    <t>Three Fam Rental</t>
  </si>
  <si>
    <t>The dollar amount of estimated repairs based on your analysis and assessment.</t>
  </si>
  <si>
    <t>Single Fam Owner</t>
  </si>
  <si>
    <t>Total Borrowing Costs of first, second, and misc. rehab financing fees, points, and interest charged over duration of the project</t>
  </si>
  <si>
    <t>Three Fam Owner</t>
  </si>
  <si>
    <t>Total Costs for all monthly carrying expenses based on the duration of how long property is held between purchase and sales date.</t>
  </si>
  <si>
    <r>
      <rPr>
        <rFont val="Stardos Stencil"/>
        <color theme="1"/>
        <sz val="12.0"/>
      </rPr>
      <t xml:space="preserve">Property Address     _____________________________________________________________ </t>
    </r>
    <r>
      <rPr>
        <rFont val="Stencil"/>
        <color theme="1"/>
        <sz val="12.0"/>
        <vertAlign val="superscript"/>
      </rPr>
      <t xml:space="preserve">
</t>
    </r>
    <r>
      <rPr>
        <rFont val="Stencil"/>
        <color theme="1"/>
        <sz val="12.0"/>
      </rPr>
      <t xml:space="preserve"># of Bedrooms __________     # of Bathrooms __________     Square footage __________   </t>
    </r>
    <r>
      <rPr>
        <rFont val="Stencil"/>
        <color theme="1"/>
        <sz val="12.0"/>
        <vertAlign val="superscript"/>
      </rPr>
      <t xml:space="preserve">                                           .</t>
    </r>
  </si>
  <si>
    <t>Single Family Nice</t>
  </si>
  <si>
    <t>Total transactional costs related to the buying phase of the transaction</t>
  </si>
  <si>
    <t>Total transactional costs related to the selling phase of the transaction.</t>
  </si>
  <si>
    <t>Stove</t>
  </si>
  <si>
    <t>Estimated NET PROFIT</t>
  </si>
  <si>
    <t>Difference between the revenue and expenses of the entire project before income taxes.</t>
  </si>
  <si>
    <t>Refridgerator</t>
  </si>
  <si>
    <t>Potential Return &amp; Profit Analysis</t>
  </si>
  <si>
    <t>Section Summary of key profit and deal value measurements</t>
  </si>
  <si>
    <t>INSPECTION CHECKLIST</t>
  </si>
  <si>
    <t>Overhead Microwave</t>
  </si>
  <si>
    <t xml:space="preserve">Amount of your own money out of pocket that you put in the deal as the purchaser </t>
  </si>
  <si>
    <t>Repair Estimate Cost Per Sq. Ft</t>
  </si>
  <si>
    <t>Total Purchase+Rehab Estimate costs divided by total square feet of the property used as a measurement market indicator</t>
  </si>
  <si>
    <t>Dishwasher</t>
  </si>
  <si>
    <t>Amount required by you at closing</t>
  </si>
  <si>
    <t>Qty</t>
  </si>
  <si>
    <t>% of interest earned based on purchase + rehab costs regardless of how long the property was held.</t>
  </si>
  <si>
    <t>Average Price</t>
  </si>
  <si>
    <t>Redo Full Bath</t>
  </si>
  <si>
    <t>Comments</t>
  </si>
  <si>
    <t xml:space="preserve">Total Costs Return on Investment  ROI </t>
  </si>
  <si>
    <t>% of interest earned based on purchase +ALL costs regardless of how long the property was held</t>
  </si>
  <si>
    <t>Redo Half Bath</t>
  </si>
  <si>
    <t>Fixtures only Full Bath</t>
  </si>
  <si>
    <t>Fixtures Only Half Bath</t>
  </si>
  <si>
    <t>Does the roof need to be replaced?</t>
  </si>
  <si>
    <t xml:space="preserve"> # of Square FT  Total Gut Job</t>
  </si>
  <si>
    <t xml:space="preserve">Single Fam Patch  Low </t>
  </si>
  <si>
    <t xml:space="preserve">Single Fam Patch  High </t>
  </si>
  <si>
    <t xml:space="preserve">$4/sqft     </t>
  </si>
  <si>
    <t xml:space="preserve">Single Fam Gut Rock/Tape  Low </t>
  </si>
  <si>
    <t xml:space="preserve">Single Fam Gut Rock/Tape  High </t>
  </si>
  <si>
    <t xml:space="preserve">Patch Area  10x10 </t>
  </si>
  <si>
    <t>Does the house need exterior paint?</t>
  </si>
  <si>
    <t>Dumpster  Low</t>
  </si>
  <si>
    <t>$4.50/sqft</t>
  </si>
  <si>
    <t xml:space="preserve">Dumpster  High </t>
  </si>
  <si>
    <t>Do the windows need to be replaced?</t>
  </si>
  <si>
    <t>Single Family Patch 3 Dumps</t>
  </si>
  <si>
    <t>Family Gut</t>
  </si>
  <si>
    <t>$400/unit</t>
  </si>
  <si>
    <t xml:space="preserve">Deck  10x10 </t>
  </si>
  <si>
    <t xml:space="preserve">Deck  15x15 </t>
  </si>
  <si>
    <t>Does the foundation need repair?</t>
  </si>
  <si>
    <t>3 Family w/ Fire Escape</t>
  </si>
  <si>
    <t>$2.25/sqft</t>
  </si>
  <si>
    <t xml:space="preserve"> # of Square Ft  </t>
  </si>
  <si>
    <t>Does the garage need any repairs?</t>
  </si>
  <si>
    <t xml:space="preserve">     $500-$1500</t>
  </si>
  <si>
    <t>Does the yard require landscaping?</t>
  </si>
  <si>
    <t>Does the heating/plumbing need replacement?</t>
  </si>
  <si>
    <t>$2500-$3500</t>
  </si>
  <si>
    <t>Does the HVAC system need to be replaced?</t>
  </si>
  <si>
    <t>$1800-$2500</t>
  </si>
  <si>
    <t>Does the house need new duct work?</t>
  </si>
  <si>
    <t>Does the electrical system need to be updated?</t>
  </si>
  <si>
    <t>$2500-$4500</t>
  </si>
  <si>
    <t>Does the house need interior paint?</t>
  </si>
  <si>
    <t>Loan Amount</t>
  </si>
  <si>
    <t>$3.25/sqft</t>
  </si>
  <si>
    <t>Does the carpet need to be replaced?</t>
  </si>
  <si>
    <t>Make</t>
  </si>
  <si>
    <t>$1.25-$2.25/sqft</t>
  </si>
  <si>
    <t>Does the house need hardwood floors replaced?</t>
  </si>
  <si>
    <t>$6-8/sqft</t>
  </si>
  <si>
    <t>Does the kitchen require updates?</t>
  </si>
  <si>
    <t>$185/linear ft</t>
  </si>
  <si>
    <t>Does the kitchen need appliances?</t>
  </si>
  <si>
    <t>$2000-$3000</t>
  </si>
  <si>
    <t>Do the bathrooms need repair?</t>
  </si>
  <si>
    <t>Model</t>
  </si>
  <si>
    <t>Does the basement need repair?</t>
  </si>
  <si>
    <t>Loan Period</t>
  </si>
  <si>
    <t>varies</t>
  </si>
  <si>
    <t>Period</t>
  </si>
  <si>
    <t>Months into Loan</t>
  </si>
  <si>
    <t>Does the basement need waterproofing?</t>
  </si>
  <si>
    <t>Payment</t>
  </si>
  <si>
    <t>$4000-$7000</t>
  </si>
  <si>
    <t>Loan Payoff Amount</t>
  </si>
  <si>
    <t>Additional Comments</t>
  </si>
  <si>
    <t>..</t>
  </si>
  <si>
    <t>Monthly Insurance</t>
  </si>
  <si>
    <t>Monthly Ops Profit</t>
  </si>
  <si>
    <t>Realized Operating Profit Owner</t>
  </si>
  <si>
    <r>
      <rPr>
        <rFont val="century schoolbook"/>
        <color theme="1"/>
        <sz val="12.0"/>
      </rPr>
      <t xml:space="preserve">After Repair Value  ARV  $_______________     Asking Price $ _________________ </t>
    </r>
    <r>
      <rPr>
        <rFont val="Century Schoolbook"/>
        <color theme="1"/>
        <sz val="12.0"/>
        <vertAlign val="superscript"/>
      </rPr>
      <t xml:space="preserve">   
</t>
    </r>
    <r>
      <rPr>
        <rFont val="Century Schoolbook"/>
        <color theme="1"/>
        <sz val="12.0"/>
      </rPr>
      <t>ARV x  70% - Assignment Fee =  X $________________           $</t>
    </r>
    <r>
      <rPr>
        <rFont val="Century Schoolbook"/>
        <color theme="1"/>
        <sz val="12.0"/>
        <u/>
      </rPr>
      <t>                                            </t>
    </r>
    <r>
      <rPr>
        <rFont val="Century Schoolbook"/>
        <color theme="1"/>
        <sz val="12.0"/>
      </rPr>
      <t xml:space="preserve">                      </t>
    </r>
    <r>
      <rPr>
        <rFont val="Century Schoolbook"/>
        <color theme="1"/>
        <sz val="12.0"/>
        <u/>
        <vertAlign val="subscript"/>
      </rPr>
      <t xml:space="preserve">
</t>
    </r>
    <r>
      <rPr>
        <rFont val="Century Schoolbook"/>
        <color theme="1"/>
        <sz val="12.0"/>
      </rPr>
      <t xml:space="preserve">X - Repairs = OFFER                       </t>
    </r>
  </si>
  <si>
    <t>Monthly Revenue</t>
  </si>
  <si>
    <t>Realized Operating Profit VDA</t>
  </si>
  <si>
    <r>
      <rPr>
        <rFont val="Century Schoolbook"/>
        <color theme="1"/>
        <sz val="12.0"/>
      </rPr>
      <t>First Offer $_______________     Date_______________     First Counter $_______________     Date_______________</t>
    </r>
    <r>
      <rPr>
        <rFont val="Century Schoolbook"/>
        <color theme="1"/>
        <sz val="12.0"/>
        <u/>
      </rPr>
      <t xml:space="preserve">
</t>
    </r>
    <r>
      <rPr>
        <rFont val="Century Schoolbook"/>
        <color theme="1"/>
        <sz val="12.0"/>
      </rPr>
      <t>Second Offer $ _______________     Date_______________     Second Counter $_______________     Date________________</t>
    </r>
  </si>
  <si>
    <t>DISCLAIMER: ALL VALUES IN AVERAGE PRICE COLUMN ARE MARKET DEPENDENT. PLEASE CONTACT LISCENSED PROFESSIONALS IN YOUR AREA FOR ACCURATE ANALYSIS AND QUOTES!</t>
  </si>
  <si>
    <t>Day in the month</t>
  </si>
  <si>
    <t>Beginning Balance</t>
  </si>
  <si>
    <t>Interest</t>
  </si>
  <si>
    <t>Cumulative Principal</t>
  </si>
  <si>
    <t>Cumulative Interest</t>
  </si>
  <si>
    <t>Ending Balance</t>
  </si>
  <si>
    <t>Month #1</t>
  </si>
  <si>
    <t>Car Loan Patyment</t>
  </si>
  <si>
    <t>Revenue</t>
  </si>
  <si>
    <t>Profit</t>
  </si>
  <si>
    <t>Financial Risk</t>
  </si>
  <si>
    <t>Investor Profit</t>
  </si>
  <si>
    <t>VDA Profit</t>
  </si>
  <si>
    <t>Blue is unknown. estimated.</t>
  </si>
  <si>
    <t>Depends on the Hard Money Lender Used*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</si>
</sst>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#,##0.00;(#,##0.00)"/>
    <numFmt numFmtId="166" formatCode="_(&quot;$&quot;* #,##0.00_);_(&quot;$&quot;* \(#,##0.00\);_(&quot;$&quot;* &quot;-&quot;??_);_(@_)"/>
    <numFmt numFmtId="167" formatCode="m/d/yyyy"/>
    <numFmt numFmtId="168" formatCode="&quot;$&quot;#,##0"/>
    <numFmt numFmtId="169" formatCode="&quot;$&quot;#,##0.00;[Red]&quot;$&quot;#,##0.00"/>
    <numFmt numFmtId="170" formatCode="&quot;$&quot;#,##0_);[Red]\(&quot;$&quot;#,##0\)"/>
  </numFmts>
  <fonts count="74">
    <font>
      <sz val="10.0"/>
      <color rgb="FF000000"/>
      <name val="Calibri"/>
      <scheme val="minor"/>
    </font>
    <font>
      <b/>
      <color theme="1"/>
      <name val="Arial"/>
    </font>
    <font/>
    <font>
      <b/>
      <sz val="24.0"/>
      <color rgb="FFFFFFFF"/>
      <name val="Roboto Condensed"/>
    </font>
    <font>
      <b/>
      <sz val="36.0"/>
      <color rgb="FFFFF2CC"/>
      <name val="Roboto Condensed"/>
    </font>
    <font>
      <b/>
      <sz val="18.0"/>
      <color rgb="FFFFF2CC"/>
      <name val="Roboto Condensed"/>
    </font>
    <font>
      <sz val="12.0"/>
      <color rgb="FFFFF2CC"/>
      <name val="Roboto Condensed"/>
    </font>
    <font>
      <b/>
      <sz val="52.0"/>
      <color rgb="FFFFF2CC"/>
      <name val="Roboto Condensed"/>
    </font>
    <font>
      <b/>
      <color theme="1"/>
      <name val="Calibri"/>
      <scheme val="minor"/>
    </font>
    <font>
      <color theme="1"/>
      <name val="Arial"/>
    </font>
    <font>
      <sz val="12.0"/>
      <color theme="1"/>
      <name val="Roboto Condensed"/>
    </font>
    <font>
      <color theme="1"/>
      <name val="Calibri"/>
      <scheme val="minor"/>
    </font>
    <font>
      <color rgb="FFFF0000"/>
      <name val="Arial"/>
    </font>
    <font>
      <b/>
      <sz val="24.0"/>
      <color rgb="FFFFF2CC"/>
      <name val="Roboto Condensed"/>
    </font>
    <font>
      <color theme="1"/>
      <name val="Roboto Condensed"/>
    </font>
    <font>
      <b/>
      <sz val="16.0"/>
      <color theme="1"/>
      <name val="Roboto Condensed"/>
    </font>
    <font>
      <b/>
      <sz val="14.0"/>
      <color rgb="FF2DB0FE"/>
      <name val="Roboto Condensed"/>
    </font>
    <font>
      <b/>
      <sz val="11.0"/>
      <color rgb="FF0000FF"/>
      <name val="Roboto Condensed"/>
    </font>
    <font>
      <b/>
      <color theme="1"/>
      <name val="Roboto Condensed"/>
    </font>
    <font>
      <u/>
      <color rgb="FF0000FF"/>
    </font>
    <font>
      <u/>
      <color rgb="FF0000FF"/>
      <name val="Arial"/>
    </font>
    <font>
      <color theme="1"/>
      <name val="Calibri"/>
    </font>
    <font>
      <b/>
      <color rgb="FF2DB0FE"/>
      <name val="Roboto Condensed"/>
    </font>
    <font>
      <sz val="11.0"/>
      <color rgb="FF000000"/>
      <name val="Roboto Condensed"/>
    </font>
    <font>
      <b/>
      <color rgb="FF0B5394"/>
      <name val="Roboto Condensed"/>
    </font>
    <font>
      <b/>
      <sz val="16.0"/>
      <color theme="1"/>
      <name val="Arial"/>
    </font>
    <font>
      <b/>
      <sz val="14.0"/>
      <color theme="1"/>
      <name val="Arial"/>
    </font>
    <font>
      <b/>
      <color rgb="FF000000"/>
      <name val="Arial"/>
    </font>
    <font>
      <color rgb="FF000000"/>
      <name val="Arial"/>
    </font>
    <font>
      <b/>
      <sz val="16.0"/>
      <color rgb="FF0000FF"/>
      <name val="Arial"/>
    </font>
    <font>
      <b/>
      <sz val="10.0"/>
      <color theme="1"/>
      <name val="Arial"/>
    </font>
    <font>
      <b/>
      <sz val="12.0"/>
      <color rgb="FF0000FF"/>
      <name val="Calibri"/>
      <scheme val="minor"/>
    </font>
    <font>
      <sz val="12.0"/>
      <color rgb="FF0000FF"/>
      <name val="Calibri"/>
      <scheme val="minor"/>
    </font>
    <font>
      <b/>
      <color rgb="FF0000FF"/>
      <name val="Calibri"/>
      <scheme val="minor"/>
    </font>
    <font>
      <b/>
      <sz val="14.0"/>
      <color rgb="FFFFFFFF"/>
      <name val="Arial"/>
    </font>
    <font>
      <b/>
      <sz val="14.0"/>
      <color rgb="FFFFFFFF"/>
      <name val="Calibri"/>
      <scheme val="minor"/>
    </font>
    <font>
      <b/>
      <color rgb="FF0000FF"/>
      <name val="Arial"/>
    </font>
    <font>
      <color rgb="FFFFFFFF"/>
      <name val="Arial"/>
    </font>
    <font>
      <color rgb="FF0000FF"/>
      <name val="Calibri"/>
      <scheme val="minor"/>
    </font>
    <font>
      <color rgb="FFFFFFFF"/>
      <name val="Calibri"/>
      <scheme val="minor"/>
    </font>
    <font>
      <b/>
      <sz val="12.0"/>
      <color theme="1"/>
      <name val="Arial"/>
    </font>
    <font>
      <b/>
      <i/>
      <color theme="1"/>
      <name val="Arial"/>
    </font>
    <font>
      <color rgb="FF0000FF"/>
      <name val="Arial"/>
    </font>
    <font>
      <color rgb="FF980000"/>
      <name val="Arial"/>
    </font>
    <font>
      <sz val="10.0"/>
      <color rgb="FF000000"/>
      <name val="Arial"/>
    </font>
    <font>
      <color rgb="FFCCCCCC"/>
      <name val="Roboto Condensed"/>
    </font>
    <font>
      <sz val="12.0"/>
      <color rgb="FFFFFFFF"/>
      <name val="Arial"/>
    </font>
    <font>
      <sz val="12.0"/>
      <color theme="1"/>
      <name val="Arial"/>
    </font>
    <font>
      <sz val="12.0"/>
      <color rgb="FF000000"/>
      <name val="Arial"/>
    </font>
    <font>
      <i/>
      <sz val="12.0"/>
      <color theme="1"/>
      <name val="Arial"/>
    </font>
    <font>
      <b/>
      <sz val="32.0"/>
      <color rgb="FFFFFFFF"/>
      <name val="Arial"/>
    </font>
    <font>
      <b/>
      <u/>
      <color rgb="FF1155CC"/>
      <name val="Arial"/>
    </font>
    <font>
      <b/>
      <color rgb="FFFFFFFF"/>
      <name val="Calibri"/>
      <scheme val="minor"/>
    </font>
    <font>
      <b/>
      <sz val="12.0"/>
      <color rgb="FFFFFFFF"/>
      <name val="Arial"/>
    </font>
    <font>
      <sz val="10.0"/>
      <color rgb="FFFFFFFF"/>
      <name val="Arial"/>
    </font>
    <font>
      <sz val="10.0"/>
      <color theme="1"/>
      <name val="Arial"/>
    </font>
    <font>
      <sz val="14.0"/>
      <color theme="1"/>
      <name val="Arial"/>
    </font>
    <font>
      <sz val="12.0"/>
      <color rgb="FF3366FF"/>
      <name val="Arial"/>
    </font>
    <font>
      <sz val="9.0"/>
      <color theme="1"/>
      <name val="Times New Roman"/>
    </font>
    <font>
      <sz val="12.0"/>
      <color theme="1"/>
      <name val="Stardos Stencil"/>
    </font>
    <font>
      <sz val="12.0"/>
      <color rgb="FF000000"/>
      <name val="Stardos Stencil"/>
    </font>
    <font>
      <sz val="10.0"/>
      <color rgb="FF3366FF"/>
      <name val="Arial"/>
    </font>
    <font>
      <sz val="10.0"/>
      <color rgb="FF000000"/>
      <name val="Stardos Stencil"/>
    </font>
    <font>
      <sz val="12.0"/>
      <color theme="1"/>
      <name val="Century schoolbook"/>
    </font>
    <font>
      <sz val="12.0"/>
      <color rgb="FF000000"/>
      <name val="Century schoolbook"/>
    </font>
    <font>
      <sz val="20.0"/>
      <color rgb="FF000000"/>
      <name val="Times New Roman"/>
    </font>
    <font>
      <color rgb="FF000000"/>
      <name val="Calibri"/>
      <scheme val="minor"/>
    </font>
    <font>
      <b/>
      <sz val="18.0"/>
      <color rgb="FF000000"/>
      <name val="Arial"/>
    </font>
    <font>
      <b/>
      <sz val="18.0"/>
      <color theme="1"/>
      <name val="Arial"/>
    </font>
    <font>
      <b/>
      <sz val="12.0"/>
      <color theme="1"/>
      <name val="Calibri"/>
      <scheme val="minor"/>
    </font>
    <font>
      <b/>
      <sz val="12.0"/>
      <color rgb="FF000000"/>
      <name val="Calibri"/>
      <scheme val="minor"/>
    </font>
    <font>
      <b/>
      <i/>
      <sz val="14.0"/>
      <color theme="1"/>
      <name val="Arial"/>
    </font>
    <font>
      <sz val="12.0"/>
      <color theme="1"/>
      <name val="Calibri"/>
      <scheme val="minor"/>
    </font>
    <font>
      <sz val="12.0"/>
      <color rgb="FF000000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273755"/>
        <bgColor rgb="FF273755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theme="1"/>
        <bgColor theme="1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003366"/>
        <bgColor rgb="FF003366"/>
      </patternFill>
    </fill>
    <fill>
      <patternFill patternType="solid">
        <fgColor rgb="FFC0C0C0"/>
        <bgColor rgb="FFC0C0C0"/>
      </patternFill>
    </fill>
    <fill>
      <patternFill patternType="solid">
        <fgColor rgb="FF333333"/>
        <bgColor rgb="FF333333"/>
      </patternFill>
    </fill>
    <fill>
      <patternFill patternType="solid">
        <fgColor rgb="FF339966"/>
        <bgColor rgb="FF339966"/>
      </patternFill>
    </fill>
    <fill>
      <patternFill patternType="solid">
        <fgColor rgb="FF073763"/>
        <bgColor rgb="FF073763"/>
      </patternFill>
    </fill>
  </fills>
  <borders count="14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2DB0FE"/>
      </left>
      <right style="medium">
        <color rgb="FF2DB0FE"/>
      </right>
      <top style="medium">
        <color rgb="FF2DB0FE"/>
      </top>
      <bottom style="medium">
        <color rgb="FF2DB0FE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333333"/>
      </left>
      <top style="thick">
        <color rgb="FF333333"/>
      </top>
      <bottom style="thick">
        <color rgb="FF333333"/>
      </bottom>
    </border>
    <border>
      <top style="thick">
        <color rgb="FF333333"/>
      </top>
      <bottom style="thick">
        <color rgb="FF333333"/>
      </bottom>
    </border>
    <border>
      <right style="thick">
        <color rgb="FF333333"/>
      </right>
      <top style="thick">
        <color rgb="FF333333"/>
      </top>
      <bottom style="thick">
        <color rgb="FF333333"/>
      </bottom>
    </border>
    <border>
      <left style="thick">
        <color rgb="FF333333"/>
      </left>
      <top style="thick">
        <color rgb="FF333333"/>
      </top>
      <bottom style="thin">
        <color rgb="FF333333"/>
      </bottom>
    </border>
    <border>
      <top style="thick">
        <color rgb="FF333333"/>
      </top>
      <bottom style="thin">
        <color rgb="FF333333"/>
      </bottom>
    </border>
    <border>
      <right style="thick">
        <color rgb="FF333333"/>
      </right>
      <top style="thick">
        <color rgb="FF333333"/>
      </top>
      <bottom style="thin">
        <color rgb="FF333333"/>
      </bottom>
    </border>
    <border>
      <left style="thick">
        <color rgb="FF333333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ck">
        <color rgb="FF333333"/>
      </right>
      <top style="thin">
        <color rgb="FF333333"/>
      </top>
      <bottom style="thin">
        <color rgb="FF333333"/>
      </bottom>
    </border>
    <border>
      <left style="thick">
        <color rgb="FF333333"/>
      </left>
      <top style="thin">
        <color rgb="FF333333"/>
      </top>
    </border>
    <border>
      <top style="thin">
        <color rgb="FF333333"/>
      </top>
    </border>
    <border>
      <right style="thick">
        <color rgb="FF333333"/>
      </right>
      <top style="thin">
        <color rgb="FF333333"/>
      </top>
    </border>
    <border>
      <left style="thick">
        <color rgb="FF333333"/>
      </left>
      <top style="medium">
        <color rgb="FF333333"/>
      </top>
      <bottom style="medium">
        <color rgb="FF333333"/>
      </bottom>
    </border>
    <border>
      <top style="medium">
        <color rgb="FF333333"/>
      </top>
      <bottom style="medium">
        <color rgb="FF333333"/>
      </bottom>
    </border>
    <border>
      <right style="thick">
        <color rgb="FF333333"/>
      </right>
      <top style="medium">
        <color rgb="FF333333"/>
      </top>
      <bottom style="medium">
        <color rgb="FF333333"/>
      </bottom>
    </border>
    <border>
      <left style="thick">
        <color rgb="FF333333"/>
      </left>
      <top style="medium">
        <color rgb="FF333333"/>
      </top>
      <bottom style="thin">
        <color rgb="FF333333"/>
      </bottom>
    </border>
    <border>
      <top style="medium">
        <color rgb="FF333333"/>
      </top>
      <bottom style="thin">
        <color rgb="FF333333"/>
      </bottom>
    </border>
    <border>
      <right style="thick">
        <color rgb="FF333333"/>
      </right>
      <top style="medium">
        <color rgb="FF333333"/>
      </top>
      <bottom style="thin">
        <color rgb="FF333333"/>
      </bottom>
    </border>
    <border>
      <left style="thick">
        <color rgb="FF333333"/>
      </left>
    </border>
    <border>
      <right style="thick">
        <color rgb="FF333333"/>
      </right>
    </border>
    <border>
      <left style="thick">
        <color rgb="FF333333"/>
      </left>
      <bottom style="medium">
        <color rgb="FF333333"/>
      </bottom>
    </border>
    <border>
      <bottom style="medium">
        <color rgb="FF333333"/>
      </bottom>
    </border>
    <border>
      <right style="thick">
        <color rgb="FF333333"/>
      </right>
      <bottom style="medium">
        <color rgb="FF333333"/>
      </bottom>
    </border>
    <border>
      <left style="thick">
        <color rgb="FF333333"/>
      </left>
      <right style="thin">
        <color rgb="FF333333"/>
      </right>
      <bottom style="thin">
        <color rgb="FF333333"/>
      </bottom>
    </border>
    <border>
      <left style="thin">
        <color rgb="FF333333"/>
      </left>
      <top style="medium">
        <color rgb="FF333333"/>
      </top>
      <bottom style="thin">
        <color rgb="FF333333"/>
      </bottom>
    </border>
    <border>
      <left style="thick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left style="thick">
        <color rgb="FF333333"/>
      </left>
      <right/>
      <top style="thin">
        <color rgb="FF333333"/>
      </top>
      <bottom style="thin">
        <color rgb="FF333333"/>
      </bottom>
    </border>
    <border>
      <left/>
      <top style="thin">
        <color rgb="FF333333"/>
      </top>
      <bottom style="thin">
        <color rgb="FF333333"/>
      </bottom>
    </border>
    <border>
      <left style="thick">
        <color rgb="FF333333"/>
      </left>
      <top style="thin">
        <color rgb="FF333333"/>
      </top>
      <bottom style="medium">
        <color rgb="FF333333"/>
      </bottom>
    </border>
    <border>
      <top style="thin">
        <color rgb="FF333333"/>
      </top>
      <bottom style="medium">
        <color rgb="FF333333"/>
      </bottom>
    </border>
    <border>
      <right style="thick">
        <color rgb="FF333333"/>
      </right>
      <top style="thin">
        <color rgb="FF333333"/>
      </top>
      <bottom style="medium">
        <color rgb="FF333333"/>
      </bottom>
    </border>
    <border>
      <left style="thin">
        <color rgb="FF333333"/>
      </left>
      <right style="thin">
        <color rgb="FF333333"/>
      </right>
      <bottom style="thin">
        <color rgb="FF333333"/>
      </bottom>
    </border>
    <border>
      <left style="thin">
        <color rgb="FF333333"/>
      </left>
      <right style="thick">
        <color rgb="FF333333"/>
      </right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thick">
        <color rgb="FF333333"/>
      </right>
      <top style="thin">
        <color rgb="FF333333"/>
      </top>
      <bottom style="thin">
        <color rgb="FF333333"/>
      </bottom>
    </border>
    <border>
      <left/>
      <right style="thin">
        <color rgb="FF333333"/>
      </right>
      <top style="thin">
        <color rgb="FF333333"/>
      </top>
      <bottom style="thin">
        <color rgb="FF333333"/>
      </bottom>
    </border>
    <border>
      <left style="thick">
        <color rgb="FF333333"/>
      </left>
      <right/>
      <top style="thin">
        <color rgb="FF333333"/>
      </top>
      <bottom style="thick">
        <color rgb="FF333333"/>
      </bottom>
    </border>
    <border>
      <left/>
      <right style="thin">
        <color rgb="FF333333"/>
      </right>
      <top style="thin">
        <color rgb="FF333333"/>
      </top>
      <bottom style="thick">
        <color rgb="FF333333"/>
      </bottom>
    </border>
    <border>
      <left style="thin">
        <color rgb="FF333333"/>
      </left>
      <right style="thick">
        <color rgb="FF333333"/>
      </right>
      <top style="thin">
        <color rgb="FF333333"/>
      </top>
      <bottom style="thick">
        <color rgb="FF333333"/>
      </bottom>
    </border>
    <border>
      <top style="thick">
        <color rgb="FF333333"/>
      </top>
    </border>
    <border>
      <left style="thick">
        <color rgb="FF333333"/>
      </left>
      <top style="thick">
        <color rgb="FF333333"/>
      </top>
      <bottom/>
    </border>
    <border>
      <top style="thick">
        <color rgb="FF333333"/>
      </top>
      <bottom/>
    </border>
    <border>
      <right style="thick">
        <color rgb="FF333333"/>
      </right>
      <top style="thick">
        <color rgb="FF333333"/>
      </top>
      <bottom/>
    </border>
    <border>
      <left style="thick">
        <color rgb="FF333333"/>
      </left>
      <top/>
      <bottom style="thick">
        <color rgb="FF333333"/>
      </bottom>
    </border>
    <border>
      <top/>
      <bottom style="thick">
        <color rgb="FF333333"/>
      </bottom>
    </border>
    <border>
      <right style="thick">
        <color rgb="FF333333"/>
      </right>
      <top/>
      <bottom style="thick">
        <color rgb="FF333333"/>
      </bottom>
    </border>
    <border>
      <left style="thick">
        <color rgb="FF333333"/>
      </left>
      <bottom style="thin">
        <color rgb="FF000000"/>
      </bottom>
    </border>
    <border>
      <right style="thick">
        <color rgb="FF333333"/>
      </right>
      <bottom style="thin">
        <color rgb="FF000000"/>
      </bottom>
    </border>
    <border>
      <left style="thick">
        <color rgb="FF333333"/>
      </left>
      <top style="thin">
        <color rgb="FF000000"/>
      </top>
      <bottom style="thin">
        <color rgb="FF000000"/>
      </bottom>
    </border>
    <border>
      <right style="thick">
        <color rgb="FF333333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ck">
        <color rgb="FF333333"/>
      </right>
      <top style="thin">
        <color rgb="FF000000"/>
      </top>
      <bottom style="medium">
        <color rgb="FF000000"/>
      </bottom>
    </border>
    <border>
      <left style="thick">
        <color rgb="FF333333"/>
      </left>
      <top style="medium">
        <color rgb="FF000000"/>
      </top>
      <bottom style="medium">
        <color rgb="FF000000"/>
      </bottom>
    </border>
    <border>
      <right style="thick">
        <color rgb="FF333333"/>
      </right>
      <top style="medium">
        <color rgb="FF000000"/>
      </top>
      <bottom style="medium">
        <color rgb="FF000000"/>
      </bottom>
    </border>
    <border>
      <left style="thick">
        <color rgb="FF333333"/>
      </left>
      <right/>
      <top style="medium">
        <color rgb="FF000000"/>
      </top>
      <bottom style="thick">
        <color rgb="FF333333"/>
      </bottom>
    </border>
    <border>
      <left/>
      <top style="medium">
        <color rgb="FF000000"/>
      </top>
      <bottom style="thick">
        <color rgb="FF333333"/>
      </bottom>
    </border>
    <border>
      <right style="thick">
        <color rgb="FF333333"/>
      </right>
      <top style="medium">
        <color rgb="FF000000"/>
      </top>
      <bottom style="thick">
        <color rgb="FF333333"/>
      </bottom>
    </border>
    <border>
      <left style="thick">
        <color rgb="FF333333"/>
      </left>
      <top style="thick">
        <color rgb="FF333333"/>
      </top>
      <bottom style="thin">
        <color rgb="FF000000"/>
      </bottom>
    </border>
    <border>
      <top style="thick">
        <color rgb="FF333333"/>
      </top>
      <bottom style="thin">
        <color rgb="FF000000"/>
      </bottom>
    </border>
    <border>
      <right style="thick">
        <color rgb="FF333333"/>
      </right>
      <top style="thick">
        <color rgb="FF333333"/>
      </top>
      <bottom style="thin">
        <color rgb="FF000000"/>
      </bottom>
    </border>
    <border>
      <left style="thick">
        <color rgb="FF333333"/>
      </left>
      <top style="thin">
        <color rgb="FF000000"/>
      </top>
    </border>
    <border>
      <right style="thick">
        <color rgb="FF333333"/>
      </right>
      <top style="thin">
        <color rgb="FF000000"/>
      </top>
    </border>
    <border>
      <left style="thick">
        <color rgb="FF333333"/>
      </left>
      <top style="medium">
        <color rgb="FF333333"/>
      </top>
      <bottom style="medium">
        <color rgb="FF000000"/>
      </bottom>
    </border>
    <border>
      <top style="medium">
        <color rgb="FF333333"/>
      </top>
      <bottom style="medium">
        <color rgb="FF000000"/>
      </bottom>
    </border>
    <border>
      <right style="thick">
        <color rgb="FF333333"/>
      </right>
      <top style="medium">
        <color rgb="FF333333"/>
      </top>
      <bottom style="medium">
        <color rgb="FF000000"/>
      </bottom>
    </border>
    <border>
      <left style="thick">
        <color rgb="FF333333"/>
      </left>
      <right/>
      <top/>
      <bottom style="thick">
        <color rgb="FF333333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83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7" fillId="2" fontId="4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readingOrder="0" shrinkToFit="0" wrapText="1"/>
    </xf>
    <xf borderId="8" fillId="0" fontId="1" numFmtId="0" xfId="0" applyAlignment="1" applyBorder="1" applyFont="1">
      <alignment readingOrder="0" shrinkToFit="0" wrapText="1"/>
    </xf>
    <xf borderId="7" fillId="2" fontId="6" numFmtId="0" xfId="0" applyAlignment="1" applyBorder="1" applyFill="1" applyFont="1">
      <alignment horizontal="center" readingOrder="0" shrinkToFit="0" wrapText="1"/>
    </xf>
    <xf borderId="7" fillId="2" fontId="6" numFmtId="0" xfId="0" applyAlignment="1" applyBorder="1" applyFill="1" applyFont="1">
      <alignment horizontal="center" shrinkToFit="0" wrapText="1"/>
    </xf>
    <xf borderId="9" fillId="2" fontId="7" numFmtId="0" xfId="0" applyAlignment="1" applyBorder="1" applyFill="1" applyFont="1">
      <alignment horizontal="center" shrinkToFit="0" wrapText="1"/>
    </xf>
    <xf borderId="10" fillId="0" fontId="2" numFmtId="0" xfId="0" applyAlignment="1" applyBorder="1" applyFont="1">
      <alignment shrinkToFit="0" wrapText="1"/>
    </xf>
    <xf borderId="8" fillId="0" fontId="8" numFmtId="164" xfId="0" applyAlignment="1" applyBorder="1" applyFont="1" applyNumberFormat="1">
      <alignment shrinkToFit="0" wrapText="1"/>
    </xf>
    <xf borderId="11" fillId="0" fontId="2" numFmtId="0" xfId="0" applyAlignment="1" applyBorder="1" applyFont="1">
      <alignment shrinkToFit="0" wrapText="1"/>
    </xf>
    <xf borderId="12" fillId="2" fontId="4" numFmtId="0" xfId="0" applyAlignment="1" applyBorder="1" applyFill="1" applyFont="1">
      <alignment horizontal="center" readingOrder="0" shrinkToFit="0" vertical="center" wrapText="1"/>
    </xf>
    <xf borderId="13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8" fillId="4" fontId="9" numFmtId="164" xfId="0" applyAlignment="1" applyBorder="1" applyFill="1" applyFont="1" applyNumberFormat="1">
      <alignment readingOrder="0" shrinkToFit="0" wrapText="1"/>
    </xf>
    <xf borderId="0" fillId="0" fontId="9" numFmtId="0" xfId="0" applyAlignment="1" applyFont="1">
      <alignment readingOrder="0" shrinkToFit="0" wrapText="1"/>
    </xf>
    <xf borderId="8" fillId="0" fontId="9" numFmtId="164" xfId="0" applyAlignment="1" applyBorder="1" applyFont="1" applyNumberFormat="1">
      <alignment readingOrder="0" shrinkToFit="0" wrapText="1"/>
    </xf>
    <xf borderId="15" fillId="2" fontId="10" numFmtId="0" xfId="0" applyAlignment="1" applyBorder="1" applyFill="1" applyFont="1">
      <alignment horizontal="center" readingOrder="0" shrinkToFit="0" wrapText="1"/>
    </xf>
    <xf borderId="16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wrapText="1"/>
    </xf>
    <xf borderId="0" fillId="0" fontId="11" numFmtId="164" xfId="0" applyAlignment="1" applyFont="1" applyNumberFormat="1">
      <alignment shrinkToFit="0" wrapText="1"/>
    </xf>
    <xf borderId="19" fillId="2" fontId="6" numFmtId="0" xfId="0" applyAlignment="1" applyBorder="1" applyFill="1" applyFont="1">
      <alignment horizontal="center" shrinkToFit="0" wrapText="1"/>
    </xf>
    <xf borderId="12" fillId="2" fontId="13" numFmtId="0" xfId="0" applyAlignment="1" applyBorder="1" applyFill="1" applyFont="1">
      <alignment horizontal="center" readingOrder="0" shrinkToFit="0" vertical="center" wrapText="1"/>
    </xf>
    <xf borderId="8" fillId="5" fontId="12" numFmtId="165" xfId="0" applyAlignment="1" applyBorder="1" applyFill="1" applyFont="1" applyNumberFormat="1">
      <alignment readingOrder="0" shrinkToFit="0" wrapText="1"/>
    </xf>
    <xf borderId="8" fillId="4" fontId="9" numFmtId="3" xfId="0" applyAlignment="1" applyBorder="1" applyFill="1" applyFont="1" applyNumberFormat="1">
      <alignment readingOrder="0" shrinkToFit="0" wrapText="1"/>
    </xf>
    <xf borderId="20" fillId="0" fontId="14" numFmtId="0" xfId="0" applyAlignment="1" applyBorder="1" applyFont="1">
      <alignment shrinkToFit="0" wrapText="1"/>
    </xf>
    <xf borderId="3" fillId="0" fontId="15" numFmtId="0" xfId="0" applyAlignment="1" applyBorder="1" applyFont="1">
      <alignment readingOrder="0" shrinkToFit="0" vertical="center" wrapText="1"/>
    </xf>
    <xf borderId="8" fillId="0" fontId="12" numFmtId="165" xfId="0" applyAlignment="1" applyBorder="1" applyFont="1" applyNumberFormat="1">
      <alignment readingOrder="0" shrinkToFit="0" wrapText="1"/>
    </xf>
    <xf borderId="3" fillId="0" fontId="16" numFmtId="164" xfId="0" applyAlignment="1" applyBorder="1" applyFont="1" applyNumberFormat="1">
      <alignment horizontal="right" shrinkToFit="0" vertical="center" wrapText="1"/>
    </xf>
    <xf borderId="8" fillId="6" fontId="1" numFmtId="0" xfId="0" applyAlignment="1" applyBorder="1" applyFill="1" applyFont="1">
      <alignment readingOrder="0" shrinkToFit="0" wrapText="1"/>
    </xf>
    <xf borderId="3" fillId="0" fontId="14" numFmtId="0" xfId="0" applyAlignment="1" applyBorder="1" applyFont="1">
      <alignment readingOrder="0" shrinkToFit="0" wrapText="1"/>
    </xf>
    <xf borderId="0" fillId="7" fontId="17" numFmtId="0" xfId="0" applyAlignment="1" applyFill="1" applyFont="1">
      <alignment horizontal="left" readingOrder="0" shrinkToFit="0" wrapText="1"/>
    </xf>
    <xf borderId="8" fillId="6" fontId="8" numFmtId="164" xfId="0" applyAlignment="1" applyBorder="1" applyFill="1" applyFont="1" applyNumberFormat="1">
      <alignment shrinkToFit="0" wrapText="1"/>
    </xf>
    <xf borderId="21" fillId="0" fontId="15" numFmtId="0" xfId="0" applyAlignment="1" applyBorder="1" applyFont="1">
      <alignment horizontal="right" readingOrder="0" shrinkToFit="0" vertical="center" wrapText="1"/>
    </xf>
    <xf borderId="8" fillId="0" fontId="8" numFmtId="10" xfId="0" applyAlignment="1" applyBorder="1" applyFont="1" applyNumberFormat="1">
      <alignment shrinkToFit="0" wrapText="1"/>
    </xf>
    <xf borderId="22" fillId="8" fontId="16" numFmtId="164" xfId="0" applyAlignment="1" applyBorder="1" applyFill="1" applyFont="1" applyNumberFormat="1">
      <alignment readingOrder="0" shrinkToFit="0" vertical="center" wrapText="1"/>
    </xf>
    <xf borderId="3" fillId="9" fontId="18" numFmtId="0" xfId="0" applyAlignment="1" applyBorder="1" applyFill="1" applyFont="1">
      <alignment horizontal="right" readingOrder="0" shrinkToFit="0" wrapText="1"/>
    </xf>
    <xf borderId="4" fillId="0" fontId="14" numFmtId="0" xfId="0" applyAlignment="1" applyBorder="1" applyFont="1">
      <alignment shrinkToFit="0" wrapText="1"/>
    </xf>
    <xf borderId="0" fillId="0" fontId="14" numFmtId="0" xfId="0" applyAlignment="1" applyFont="1">
      <alignment horizontal="right" readingOrder="0" shrinkToFit="0" wrapText="1"/>
    </xf>
    <xf borderId="0" fillId="0" fontId="14" numFmtId="164" xfId="0" applyAlignment="1" applyFont="1" applyNumberFormat="1">
      <alignment horizontal="center"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8" fillId="0" fontId="9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readingOrder="0" shrinkToFit="0" vertical="bottom" wrapText="1"/>
    </xf>
    <xf borderId="8" fillId="0" fontId="9" numFmtId="0" xfId="0" applyAlignment="1" applyBorder="1" applyFont="1">
      <alignment horizontal="center" shrinkToFit="0" vertical="bottom" wrapText="1"/>
    </xf>
    <xf borderId="8" fillId="10" fontId="9" numFmtId="0" xfId="0" applyAlignment="1" applyBorder="1" applyFill="1" applyFont="1">
      <alignment shrinkToFit="0" vertical="bottom" wrapText="1"/>
    </xf>
    <xf borderId="8" fillId="10" fontId="9" numFmtId="164" xfId="0" applyAlignment="1" applyBorder="1" applyFill="1" applyFont="1" applyNumberFormat="1">
      <alignment horizontal="right" readingOrder="0" shrinkToFit="0" vertical="bottom" wrapText="1"/>
    </xf>
    <xf borderId="8" fillId="10" fontId="9" numFmtId="9" xfId="0" applyAlignment="1" applyBorder="1" applyFill="1" applyFont="1" applyNumberFormat="1">
      <alignment horizontal="right" shrinkToFit="0" vertical="bottom" wrapText="1"/>
    </xf>
    <xf borderId="8" fillId="10" fontId="9" numFmtId="0" xfId="0" applyAlignment="1" applyBorder="1" applyFill="1" applyFont="1">
      <alignment horizontal="right" shrinkToFit="0" vertical="bottom" wrapText="1"/>
    </xf>
    <xf borderId="8" fillId="10" fontId="9" numFmtId="164" xfId="0" applyAlignment="1" applyBorder="1" applyFill="1" applyFont="1" applyNumberFormat="1">
      <alignment horizontal="right" shrinkToFit="0" vertical="bottom" wrapText="1"/>
    </xf>
    <xf borderId="8" fillId="11" fontId="9" numFmtId="0" xfId="0" applyAlignment="1" applyBorder="1" applyFill="1" applyFont="1">
      <alignment shrinkToFit="0" vertical="bottom" wrapText="1"/>
    </xf>
    <xf borderId="8" fillId="11" fontId="9" numFmtId="164" xfId="0" applyAlignment="1" applyBorder="1" applyFill="1" applyFont="1" applyNumberFormat="1">
      <alignment horizontal="right" readingOrder="0" shrinkToFit="0" vertical="bottom" wrapText="1"/>
    </xf>
    <xf borderId="8" fillId="11" fontId="9" numFmtId="9" xfId="0" applyAlignment="1" applyBorder="1" applyFill="1" applyFont="1" applyNumberFormat="1">
      <alignment horizontal="right" readingOrder="0" shrinkToFit="0" vertical="bottom" wrapText="1"/>
    </xf>
    <xf borderId="8" fillId="11" fontId="21" numFmtId="0" xfId="0" applyAlignment="1" applyBorder="1" applyFill="1" applyFont="1">
      <alignment shrinkToFit="0" vertical="bottom" wrapText="1"/>
    </xf>
    <xf borderId="8" fillId="11" fontId="9" numFmtId="0" xfId="0" applyAlignment="1" applyBorder="1" applyFill="1" applyFont="1">
      <alignment horizontal="right" readingOrder="0" shrinkToFit="0" vertical="bottom" wrapText="1"/>
    </xf>
    <xf borderId="8" fillId="11" fontId="9" numFmtId="0" xfId="0" applyAlignment="1" applyBorder="1" applyFill="1" applyFont="1">
      <alignment horizontal="right" shrinkToFit="0" vertical="bottom" wrapText="1"/>
    </xf>
    <xf borderId="23" fillId="0" fontId="14" numFmtId="0" xfId="0" applyAlignment="1" applyBorder="1" applyFont="1">
      <alignment shrinkToFit="0" wrapText="1"/>
    </xf>
    <xf borderId="8" fillId="11" fontId="9" numFmtId="164" xfId="0" applyAlignment="1" applyBorder="1" applyFill="1" applyFont="1" applyNumberFormat="1">
      <alignment horizontal="right" shrinkToFit="0" vertical="bottom" wrapText="1"/>
    </xf>
    <xf borderId="0" fillId="7" fontId="17" numFmtId="0" xfId="0" applyAlignment="1" applyFill="1" applyFont="1">
      <alignment horizontal="center" readingOrder="0" shrinkToFit="0" wrapText="1"/>
    </xf>
    <xf borderId="24" fillId="0" fontId="2" numFmtId="0" xfId="0" applyAlignment="1" applyBorder="1" applyFont="1">
      <alignment shrinkToFit="0" wrapText="1"/>
    </xf>
    <xf borderId="0" fillId="0" fontId="21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9" fontId="22" numFmtId="164" xfId="0" applyAlignment="1" applyFill="1" applyFont="1" applyNumberFormat="1">
      <alignment shrinkToFit="0" wrapText="1"/>
    </xf>
    <xf borderId="25" fillId="0" fontId="14" numFmtId="0" xfId="0" applyAlignment="1" applyBorder="1" applyFont="1">
      <alignment shrinkToFit="0" wrapText="1"/>
    </xf>
    <xf borderId="0" fillId="0" fontId="14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8" fillId="0" fontId="21" numFmtId="164" xfId="0" applyAlignment="1" applyBorder="1" applyFont="1" applyNumberFormat="1">
      <alignment horizontal="right" shrinkToFit="0" vertical="bottom" wrapText="1"/>
    </xf>
    <xf borderId="26" fillId="0" fontId="18" numFmtId="0" xfId="0" applyAlignment="1" applyBorder="1" applyFont="1">
      <alignment readingOrder="0" shrinkToFit="0" wrapText="1"/>
    </xf>
    <xf borderId="27" fillId="0" fontId="18" numFmtId="0" xfId="0" applyAlignment="1" applyBorder="1" applyFont="1">
      <alignment readingOrder="0" shrinkToFit="0" wrapText="1"/>
    </xf>
    <xf borderId="28" fillId="0" fontId="18" numFmtId="0" xfId="0" applyAlignment="1" applyBorder="1" applyFont="1">
      <alignment readingOrder="0" shrinkToFit="0" wrapText="1"/>
    </xf>
    <xf borderId="0" fillId="0" fontId="14" numFmtId="0" xfId="0" applyAlignment="1" applyFont="1">
      <alignment shrinkToFit="0" wrapText="1"/>
    </xf>
    <xf borderId="8" fillId="0" fontId="18" numFmtId="0" xfId="0" applyAlignment="1" applyBorder="1" applyFont="1">
      <alignment readingOrder="0" shrinkToFit="0" wrapText="1"/>
    </xf>
    <xf borderId="8" fillId="7" fontId="23" numFmtId="0" xfId="0" applyAlignment="1" applyBorder="1" applyFill="1" applyFont="1">
      <alignment horizontal="left" readingOrder="0" shrinkToFit="0" wrapText="1"/>
    </xf>
    <xf borderId="0" fillId="0" fontId="18" numFmtId="0" xfId="0" applyAlignment="1" applyFont="1">
      <alignment horizontal="right" readingOrder="0" shrinkToFit="0" wrapText="1"/>
    </xf>
    <xf borderId="29" fillId="5" fontId="18" numFmtId="0" xfId="0" applyAlignment="1" applyBorder="1" applyFill="1" applyFont="1">
      <alignment readingOrder="0" shrinkToFit="0" wrapText="1"/>
    </xf>
    <xf borderId="0" fillId="8" fontId="22" numFmtId="0" xfId="0" applyAlignment="1" applyFill="1" applyFont="1">
      <alignment horizontal="center" readingOrder="0" shrinkToFit="0" wrapText="1"/>
    </xf>
    <xf borderId="30" fillId="8" fontId="22" numFmtId="164" xfId="0" applyAlignment="1" applyBorder="1" applyFill="1" applyFont="1" applyNumberFormat="1">
      <alignment readingOrder="0" shrinkToFit="0" wrapText="1"/>
    </xf>
    <xf borderId="8" fillId="0" fontId="24" numFmtId="164" xfId="0" applyAlignment="1" applyBorder="1" applyFont="1" applyNumberFormat="1">
      <alignment shrinkToFit="0" wrapText="1"/>
    </xf>
    <xf borderId="8" fillId="0" fontId="24" numFmtId="166" xfId="0" applyAlignment="1" applyBorder="1" applyFont="1" applyNumberFormat="1">
      <alignment shrinkToFit="0" wrapText="1"/>
    </xf>
    <xf borderId="0" fillId="0" fontId="25" numFmtId="0" xfId="0" applyAlignment="1" applyFont="1">
      <alignment horizontal="center" readingOrder="0" shrinkToFit="0" vertical="center" wrapText="1"/>
    </xf>
    <xf borderId="8" fillId="8" fontId="22" numFmtId="164" xfId="0" applyAlignment="1" applyBorder="1" applyFill="1" applyFont="1" applyNumberFormat="1">
      <alignment readingOrder="0" shrinkToFit="0" wrapText="1"/>
    </xf>
    <xf borderId="0" fillId="0" fontId="14" numFmtId="0" xfId="0" applyAlignment="1" applyFont="1">
      <alignment horizontal="right" readingOrder="0" shrinkToFit="0" wrapText="1"/>
    </xf>
    <xf borderId="31" fillId="0" fontId="14" numFmtId="164" xfId="0" applyAlignment="1" applyBorder="1" applyFont="1" applyNumberFormat="1">
      <alignment shrinkToFit="0" wrapText="1"/>
    </xf>
    <xf borderId="32" fillId="12" fontId="25" numFmtId="0" xfId="0" applyAlignment="1" applyBorder="1" applyFill="1" applyFont="1">
      <alignment horizontal="center" readingOrder="0" shrinkToFit="0" vertical="center" wrapText="1"/>
    </xf>
    <xf borderId="33" fillId="0" fontId="2" numFmtId="0" xfId="0" applyAlignment="1" applyBorder="1" applyFont="1">
      <alignment shrinkToFit="0" wrapText="1"/>
    </xf>
    <xf borderId="31" fillId="0" fontId="11" numFmtId="164" xfId="0" applyAlignment="1" applyBorder="1" applyFont="1" applyNumberFormat="1">
      <alignment shrinkToFit="0" wrapText="1"/>
    </xf>
    <xf borderId="34" fillId="0" fontId="2" numFmtId="0" xfId="0" applyAlignment="1" applyBorder="1" applyFont="1">
      <alignment shrinkToFit="0" wrapText="1"/>
    </xf>
    <xf borderId="20" fillId="0" fontId="8" numFmtId="0" xfId="0" applyAlignment="1" applyBorder="1" applyFont="1">
      <alignment readingOrder="0" shrinkToFit="0" wrapText="1"/>
    </xf>
    <xf borderId="20" fillId="0" fontId="11" numFmtId="0" xfId="0" applyAlignment="1" applyBorder="1" applyFont="1">
      <alignment shrinkToFit="0" wrapText="1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9" fillId="9" fontId="1" numFmtId="0" xfId="0" applyAlignment="1" applyBorder="1" applyFill="1" applyFont="1">
      <alignment shrinkToFit="0" vertical="bottom" wrapText="1"/>
    </xf>
    <xf borderId="31" fillId="0" fontId="14" numFmtId="0" xfId="0" applyAlignment="1" applyBorder="1" applyFont="1">
      <alignment shrinkToFit="0" wrapText="1"/>
    </xf>
    <xf borderId="0" fillId="0" fontId="1" numFmtId="0" xfId="0" applyAlignment="1" applyFont="1">
      <alignment shrinkToFit="0" vertical="bottom" wrapText="0"/>
    </xf>
    <xf borderId="0" fillId="7" fontId="1" numFmtId="164" xfId="0" applyAlignment="1" applyFill="1" applyFont="1" applyNumberFormat="1">
      <alignment shrinkToFit="0" wrapText="1"/>
    </xf>
    <xf borderId="0" fillId="0" fontId="14" numFmtId="9" xfId="0" applyAlignment="1" applyFont="1" applyNumberFormat="1">
      <alignment horizontal="center" readingOrder="0" shrinkToFit="0" wrapText="1"/>
    </xf>
    <xf borderId="0" fillId="0" fontId="1" numFmtId="0" xfId="0" applyAlignment="1" applyFont="1">
      <alignment shrinkToFit="0" wrapText="1"/>
    </xf>
    <xf borderId="26" fillId="0" fontId="8" numFmtId="164" xfId="0" applyAlignment="1" applyBorder="1" applyFont="1" applyNumberFormat="1">
      <alignment shrinkToFit="0" wrapText="1"/>
    </xf>
    <xf borderId="9" fillId="0" fontId="1" numFmtId="0" xfId="0" applyAlignment="1" applyBorder="1" applyFont="1">
      <alignment shrinkToFit="0" vertical="bottom" wrapText="1"/>
    </xf>
    <xf borderId="29" fillId="0" fontId="11" numFmtId="0" xfId="0" applyAlignment="1" applyBorder="1" applyFont="1">
      <alignment shrinkToFit="0" wrapText="1"/>
    </xf>
    <xf borderId="23" fillId="0" fontId="8" numFmtId="0" xfId="0" applyAlignment="1" applyBorder="1" applyFont="1">
      <alignment readingOrder="0" shrinkToFit="0" wrapText="1"/>
    </xf>
    <xf borderId="11" fillId="13" fontId="1" numFmtId="164" xfId="0" applyAlignment="1" applyBorder="1" applyFill="1" applyFont="1" applyNumberFormat="1">
      <alignment readingOrder="0" shrinkToFit="0" wrapText="1"/>
    </xf>
    <xf borderId="25" fillId="0" fontId="2" numFmtId="0" xfId="0" applyAlignment="1" applyBorder="1" applyFont="1">
      <alignment shrinkToFit="0" wrapText="1"/>
    </xf>
    <xf borderId="35" fillId="0" fontId="1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36" fillId="0" fontId="2" numFmtId="0" xfId="0" applyAlignment="1" applyBorder="1" applyFont="1">
      <alignment shrinkToFit="0" wrapText="1"/>
    </xf>
    <xf borderId="14" fillId="13" fontId="1" numFmtId="10" xfId="0" applyAlignment="1" applyBorder="1" applyFill="1" applyFont="1" applyNumberFormat="1">
      <alignment shrinkToFit="0" wrapText="1"/>
    </xf>
    <xf borderId="31" fillId="0" fontId="14" numFmtId="164" xfId="0" applyAlignment="1" applyBorder="1" applyFont="1" applyNumberFormat="1">
      <alignment readingOrder="0" shrinkToFit="0" wrapText="1"/>
    </xf>
    <xf borderId="31" fillId="0" fontId="14" numFmtId="0" xfId="0" applyAlignment="1" applyBorder="1" applyFont="1">
      <alignment readingOrder="0" shrinkToFit="0" wrapText="1"/>
    </xf>
    <xf borderId="0" fillId="5" fontId="26" numFmtId="0" xfId="0" applyAlignment="1" applyFill="1" applyFont="1">
      <alignment horizontal="center" readingOrder="0" shrinkToFit="0" vertical="center" wrapText="1"/>
    </xf>
    <xf borderId="26" fillId="5" fontId="12" numFmtId="165" xfId="0" applyAlignment="1" applyBorder="1" applyFill="1" applyFont="1" applyNumberFormat="1">
      <alignment readingOrder="0" shrinkToFit="0" wrapText="1"/>
    </xf>
    <xf borderId="31" fillId="0" fontId="11" numFmtId="0" xfId="0" applyAlignment="1" applyBorder="1" applyFont="1">
      <alignment shrinkToFit="0" wrapText="1"/>
    </xf>
    <xf borderId="11" fillId="13" fontId="1" numFmtId="0" xfId="0" applyAlignment="1" applyBorder="1" applyFill="1" applyFont="1">
      <alignment shrinkToFit="0" vertical="bottom" wrapText="1"/>
    </xf>
    <xf borderId="37" fillId="0" fontId="1" numFmtId="0" xfId="0" applyAlignment="1" applyBorder="1" applyFont="1">
      <alignment shrinkToFit="0" wrapText="1"/>
    </xf>
    <xf borderId="38" fillId="0" fontId="1" numFmtId="166" xfId="0" applyAlignment="1" applyBorder="1" applyFont="1" applyNumberFormat="1">
      <alignment shrinkToFit="0" wrapText="1"/>
    </xf>
    <xf borderId="11" fillId="0" fontId="1" numFmtId="0" xfId="0" applyAlignment="1" applyBorder="1" applyFont="1">
      <alignment shrinkToFit="0" vertical="bottom" wrapText="1"/>
    </xf>
    <xf borderId="11" fillId="0" fontId="9" numFmtId="0" xfId="0" applyAlignment="1" applyBorder="1" applyFont="1">
      <alignment shrinkToFit="0" vertical="bottom" wrapText="1"/>
    </xf>
    <xf borderId="15" fillId="0" fontId="8" numFmtId="0" xfId="0" applyAlignment="1" applyBorder="1" applyFont="1">
      <alignment readingOrder="0" shrinkToFit="0" wrapText="1"/>
    </xf>
    <xf borderId="9" fillId="0" fontId="27" numFmtId="0" xfId="0" applyAlignment="1" applyBorder="1" applyFont="1">
      <alignment shrinkToFit="0" vertical="bottom" wrapText="1"/>
    </xf>
    <xf borderId="15" fillId="0" fontId="11" numFmtId="0" xfId="0" applyAlignment="1" applyBorder="1" applyFont="1">
      <alignment shrinkToFit="0" wrapText="1"/>
    </xf>
    <xf borderId="10" fillId="0" fontId="27" numFmtId="0" xfId="0" applyAlignment="1" applyBorder="1" applyFont="1">
      <alignment shrinkToFit="0" vertical="bottom" wrapText="1"/>
    </xf>
    <xf borderId="11" fillId="0" fontId="27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shrinkToFit="0" vertical="bottom" wrapText="1"/>
    </xf>
    <xf borderId="26" fillId="0" fontId="12" numFmtId="165" xfId="0" applyAlignment="1" applyBorder="1" applyFont="1" applyNumberFormat="1">
      <alignment readingOrder="0" shrinkToFit="0" wrapText="1"/>
    </xf>
    <xf borderId="14" fillId="0" fontId="1" numFmtId="166" xfId="0" applyAlignment="1" applyBorder="1" applyFont="1" applyNumberFormat="1">
      <alignment horizontal="right" shrinkToFit="0" vertical="bottom" wrapText="1"/>
    </xf>
    <xf borderId="12" fillId="0" fontId="9" numFmtId="0" xfId="0" applyAlignment="1" applyBorder="1" applyFont="1">
      <alignment shrinkToFit="0" vertical="bottom" wrapText="1"/>
    </xf>
    <xf borderId="14" fillId="0" fontId="9" numFmtId="166" xfId="0" applyAlignment="1" applyBorder="1" applyFont="1" applyNumberFormat="1">
      <alignment horizontal="right" shrinkToFit="0" vertical="bottom" wrapText="1"/>
    </xf>
    <xf borderId="13" fillId="7" fontId="28" numFmtId="0" xfId="0" applyAlignment="1" applyBorder="1" applyFill="1" applyFont="1">
      <alignment shrinkToFit="0" vertical="bottom" wrapText="1"/>
    </xf>
    <xf borderId="32" fillId="14" fontId="25" numFmtId="0" xfId="0" applyAlignment="1" applyBorder="1" applyFill="1" applyFont="1">
      <alignment horizontal="center" shrinkToFit="0" vertical="center" wrapText="1"/>
    </xf>
    <xf borderId="32" fillId="14" fontId="25" numFmtId="0" xfId="0" applyAlignment="1" applyBorder="1" applyFill="1" applyFont="1">
      <alignment horizontal="center" readingOrder="0" shrinkToFit="0" vertical="center" wrapText="1"/>
    </xf>
    <xf borderId="14" fillId="7" fontId="28" numFmtId="164" xfId="0" applyAlignment="1" applyBorder="1" applyFill="1" applyFont="1" applyNumberFormat="1">
      <alignment shrinkToFit="0" vertical="bottom" wrapText="1"/>
    </xf>
    <xf borderId="12" fillId="0" fontId="9" numFmtId="0" xfId="0" applyAlignment="1" applyBorder="1" applyFont="1">
      <alignment shrinkToFit="0" wrapText="1"/>
    </xf>
    <xf borderId="39" fillId="0" fontId="2" numFmtId="0" xfId="0" applyAlignment="1" applyBorder="1" applyFont="1">
      <alignment shrinkToFit="0" wrapText="1"/>
    </xf>
    <xf borderId="39" fillId="0" fontId="1" numFmtId="0" xfId="0" applyAlignment="1" applyBorder="1" applyFont="1">
      <alignment shrinkToFit="0" vertical="bottom" wrapText="1"/>
    </xf>
    <xf borderId="40" fillId="0" fontId="1" numFmtId="0" xfId="0" applyAlignment="1" applyBorder="1" applyFont="1">
      <alignment shrinkToFit="0" vertical="bottom" wrapText="1"/>
    </xf>
    <xf borderId="41" fillId="0" fontId="1" numFmtId="0" xfId="0" applyAlignment="1" applyBorder="1" applyFont="1">
      <alignment shrinkToFit="0" vertical="bottom" wrapText="1"/>
    </xf>
    <xf borderId="20" fillId="5" fontId="29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wrapText="1"/>
    </xf>
    <xf borderId="20" fillId="15" fontId="30" numFmtId="0" xfId="0" applyAlignment="1" applyBorder="1" applyFill="1" applyFont="1">
      <alignment horizontal="left" readingOrder="0" shrinkToFit="0" vertical="center" wrapText="1"/>
    </xf>
    <xf borderId="42" fillId="0" fontId="28" numFmtId="0" xfId="0" applyAlignment="1" applyBorder="1" applyFont="1">
      <alignment horizontal="left" shrinkToFit="0" vertical="bottom" wrapText="1"/>
    </xf>
    <xf borderId="3" fillId="15" fontId="11" numFmtId="0" xfId="0" applyAlignment="1" applyBorder="1" applyFill="1" applyFont="1">
      <alignment shrinkToFit="0" wrapText="1"/>
    </xf>
    <xf borderId="40" fillId="0" fontId="28" numFmtId="4" xfId="0" applyAlignment="1" applyBorder="1" applyFont="1" applyNumberFormat="1">
      <alignment horizontal="right" readingOrder="0" shrinkToFit="0" vertical="bottom" wrapText="1"/>
    </xf>
    <xf borderId="4" fillId="15" fontId="11" numFmtId="0" xfId="0" applyAlignment="1" applyBorder="1" applyFill="1" applyFont="1">
      <alignment shrinkToFit="0" wrapText="1"/>
    </xf>
    <xf borderId="0" fillId="0" fontId="28" numFmtId="4" xfId="0" applyAlignment="1" applyFont="1" applyNumberFormat="1">
      <alignment readingOrder="0" shrinkToFit="0" vertical="bottom" wrapText="1"/>
    </xf>
    <xf borderId="43" fillId="13" fontId="27" numFmtId="166" xfId="0" applyAlignment="1" applyBorder="1" applyFill="1" applyFont="1" applyNumberFormat="1">
      <alignment readingOrder="0" shrinkToFit="0" vertical="bottom" wrapText="1"/>
    </xf>
    <xf borderId="44" fillId="5" fontId="9" numFmtId="164" xfId="0" applyAlignment="1" applyBorder="1" applyFill="1" applyFont="1" applyNumberFormat="1">
      <alignment readingOrder="0" shrinkToFit="0" wrapText="1"/>
    </xf>
    <xf borderId="45" fillId="0" fontId="2" numFmtId="0" xfId="0" applyAlignment="1" applyBorder="1" applyFont="1">
      <alignment shrinkToFit="0" wrapText="1"/>
    </xf>
    <xf borderId="41" fillId="13" fontId="27" numFmtId="166" xfId="0" applyAlignment="1" applyBorder="1" applyFill="1" applyFont="1" applyNumberFormat="1">
      <alignment readingOrder="0" shrinkToFit="0" vertical="bottom" wrapText="1"/>
    </xf>
    <xf borderId="23" fillId="0" fontId="31" numFmtId="0" xfId="0" applyAlignment="1" applyBorder="1" applyFont="1">
      <alignment readingOrder="0" shrinkToFit="0" wrapText="1"/>
    </xf>
    <xf borderId="42" fillId="0" fontId="9" numFmtId="0" xfId="0" applyAlignment="1" applyBorder="1" applyFont="1">
      <alignment shrinkToFit="0" vertical="bottom" wrapText="1"/>
    </xf>
    <xf borderId="46" fillId="0" fontId="9" numFmtId="166" xfId="0" applyAlignment="1" applyBorder="1" applyFont="1" applyNumberFormat="1">
      <alignment horizontal="right" shrinkToFit="0" vertical="bottom" wrapText="1"/>
    </xf>
    <xf borderId="23" fillId="0" fontId="32" numFmtId="164" xfId="0" applyAlignment="1" applyBorder="1" applyFont="1" applyNumberFormat="1">
      <alignment shrinkToFit="0" wrapText="1"/>
    </xf>
    <xf borderId="26" fillId="0" fontId="1" numFmtId="0" xfId="0" applyAlignment="1" applyBorder="1" applyFont="1">
      <alignment readingOrder="0" shrinkToFit="0" wrapText="1"/>
    </xf>
    <xf borderId="28" fillId="0" fontId="2" numFmtId="0" xfId="0" applyAlignment="1" applyBorder="1" applyFont="1">
      <alignment shrinkToFit="0" wrapText="1"/>
    </xf>
    <xf borderId="46" fillId="0" fontId="9" numFmtId="10" xfId="0" applyAlignment="1" applyBorder="1" applyFont="1" applyNumberFormat="1">
      <alignment horizontal="right" shrinkToFit="0" vertical="bottom" wrapText="1"/>
    </xf>
    <xf borderId="23" fillId="0" fontId="33" numFmtId="0" xfId="0" applyAlignment="1" applyBorder="1" applyFont="1">
      <alignment readingOrder="0" shrinkToFit="0" wrapText="1"/>
    </xf>
    <xf borderId="47" fillId="4" fontId="1" numFmtId="0" xfId="0" applyAlignment="1" applyBorder="1" applyFill="1" applyFont="1">
      <alignment shrinkToFit="0" vertical="bottom" wrapText="1"/>
    </xf>
    <xf borderId="48" fillId="4" fontId="1" numFmtId="0" xfId="0" applyAlignment="1" applyBorder="1" applyFill="1" applyFont="1">
      <alignment shrinkToFit="0" vertical="bottom" wrapText="1"/>
    </xf>
    <xf borderId="49" fillId="4" fontId="1" numFmtId="10" xfId="0" applyAlignment="1" applyBorder="1" applyFill="1" applyFont="1" applyNumberFormat="1">
      <alignment shrinkToFit="0" vertical="bottom" wrapText="1"/>
    </xf>
    <xf borderId="35" fillId="0" fontId="32" numFmtId="164" xfId="0" applyAlignment="1" applyBorder="1" applyFont="1" applyNumberFormat="1">
      <alignment shrinkToFit="0" wrapText="1"/>
    </xf>
    <xf borderId="8" fillId="0" fontId="9" numFmtId="0" xfId="0" applyAlignment="1" applyBorder="1" applyFont="1">
      <alignment readingOrder="0" shrinkToFit="0" wrapText="1"/>
    </xf>
    <xf borderId="12" fillId="0" fontId="27" numFmtId="0" xfId="0" applyAlignment="1" applyBorder="1" applyFont="1">
      <alignment shrinkToFit="0" vertical="bottom" wrapText="1"/>
    </xf>
    <xf borderId="14" fillId="0" fontId="27" numFmtId="164" xfId="0" applyAlignment="1" applyBorder="1" applyFont="1" applyNumberFormat="1">
      <alignment shrinkToFit="0" vertical="bottom" wrapText="1"/>
    </xf>
    <xf borderId="8" fillId="0" fontId="11" numFmtId="164" xfId="0" applyAlignment="1" applyBorder="1" applyFont="1" applyNumberFormat="1">
      <alignment shrinkToFit="0" wrapText="1"/>
    </xf>
    <xf borderId="50" fillId="0" fontId="27" numFmtId="166" xfId="0" applyAlignment="1" applyBorder="1" applyFont="1" applyNumberFormat="1">
      <alignment shrinkToFit="0" vertical="bottom" wrapText="1"/>
    </xf>
    <xf borderId="51" fillId="5" fontId="9" numFmtId="164" xfId="0" applyAlignment="1" applyBorder="1" applyFill="1" applyFont="1" applyNumberFormat="1">
      <alignment readingOrder="0" shrinkToFit="0" wrapText="1"/>
    </xf>
    <xf borderId="52" fillId="0" fontId="2" numFmtId="0" xfId="0" applyAlignment="1" applyBorder="1" applyFont="1">
      <alignment shrinkToFit="0" wrapText="1"/>
    </xf>
    <xf borderId="53" fillId="0" fontId="27" numFmtId="166" xfId="0" applyAlignment="1" applyBorder="1" applyFont="1" applyNumberFormat="1">
      <alignment shrinkToFit="0" vertical="bottom" wrapText="1"/>
    </xf>
    <xf borderId="0" fillId="0" fontId="9" numFmtId="0" xfId="0" applyAlignment="1" applyFont="1">
      <alignment shrinkToFit="0" wrapText="1"/>
    </xf>
    <xf borderId="51" fillId="0" fontId="32" numFmtId="164" xfId="0" applyAlignment="1" applyBorder="1" applyFont="1" applyNumberFormat="1">
      <alignment shrinkToFit="0" wrapText="1"/>
    </xf>
    <xf borderId="42" fillId="0" fontId="9" numFmtId="0" xfId="0" applyAlignment="1" applyBorder="1" applyFont="1">
      <alignment horizontal="right" shrinkToFit="0" wrapText="1"/>
    </xf>
    <xf borderId="23" fillId="5" fontId="9" numFmtId="164" xfId="0" applyAlignment="1" applyBorder="1" applyFill="1" applyFont="1" applyNumberFormat="1">
      <alignment readingOrder="0" shrinkToFit="0" wrapText="1"/>
    </xf>
    <xf borderId="54" fillId="4" fontId="9" numFmtId="166" xfId="0" applyAlignment="1" applyBorder="1" applyFill="1" applyFont="1" applyNumberFormat="1">
      <alignment shrinkToFit="0" vertical="bottom" wrapText="1"/>
    </xf>
    <xf borderId="55" fillId="0" fontId="28" numFmtId="4" xfId="0" applyAlignment="1" applyBorder="1" applyFont="1" applyNumberFormat="1">
      <alignment horizontal="right" readingOrder="0" shrinkToFit="0" vertical="bottom" wrapText="1"/>
    </xf>
    <xf borderId="56" fillId="13" fontId="27" numFmtId="166" xfId="0" applyAlignment="1" applyBorder="1" applyFill="1" applyFont="1" applyNumberFormat="1">
      <alignment readingOrder="0" shrinkToFit="0" vertical="bottom" wrapText="1"/>
    </xf>
    <xf borderId="8" fillId="0" fontId="11" numFmtId="10" xfId="0" applyAlignment="1" applyBorder="1" applyFont="1" applyNumberFormat="1">
      <alignment shrinkToFit="0" wrapText="1"/>
    </xf>
    <xf borderId="20" fillId="16" fontId="34" numFmtId="0" xfId="0" applyAlignment="1" applyBorder="1" applyFill="1" applyFont="1">
      <alignment readingOrder="0" shrinkToFit="0" vertical="center" wrapText="1"/>
    </xf>
    <xf borderId="42" fillId="7" fontId="28" numFmtId="0" xfId="0" applyAlignment="1" applyBorder="1" applyFill="1" applyFont="1">
      <alignment shrinkToFit="0" vertical="bottom" wrapText="1"/>
    </xf>
    <xf borderId="0" fillId="5" fontId="14" numFmtId="0" xfId="0" applyAlignment="1" applyFill="1" applyFont="1">
      <alignment readingOrder="0" shrinkToFit="0" wrapText="1"/>
    </xf>
    <xf borderId="30" fillId="5" fontId="18" numFmtId="164" xfId="0" applyAlignment="1" applyBorder="1" applyFill="1" applyFont="1" applyNumberFormat="1">
      <alignment readingOrder="0" shrinkToFit="0" wrapText="1"/>
    </xf>
    <xf borderId="46" fillId="7" fontId="28" numFmtId="166" xfId="0" applyAlignment="1" applyBorder="1" applyFill="1" applyFont="1" applyNumberFormat="1">
      <alignment horizontal="right" shrinkToFit="0" vertical="bottom" wrapText="1"/>
    </xf>
    <xf borderId="20" fillId="0" fontId="32" numFmtId="164" xfId="0" applyAlignment="1" applyBorder="1" applyFont="1" applyNumberFormat="1">
      <alignment shrinkToFit="0" wrapText="1"/>
    </xf>
    <xf borderId="20" fillId="16" fontId="35" numFmtId="0" xfId="0" applyAlignment="1" applyBorder="1" applyFill="1" applyFont="1">
      <alignment readingOrder="0" shrinkToFit="0" vertical="center" wrapText="1"/>
    </xf>
    <xf borderId="42" fillId="0" fontId="28" numFmtId="0" xfId="0" applyAlignment="1" applyBorder="1" applyFont="1">
      <alignment shrinkToFit="0" vertical="bottom" wrapText="1"/>
    </xf>
    <xf borderId="46" fillId="13" fontId="36" numFmtId="10" xfId="0" applyAlignment="1" applyBorder="1" applyFill="1" applyFont="1" applyNumberFormat="1">
      <alignment shrinkToFit="0" vertical="bottom" wrapText="1"/>
    </xf>
    <xf borderId="28" fillId="0" fontId="28" numFmtId="166" xfId="0" applyAlignment="1" applyBorder="1" applyFont="1" applyNumberFormat="1">
      <alignment shrinkToFit="0" vertical="bottom" wrapText="1"/>
    </xf>
    <xf borderId="8" fillId="0" fontId="11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shrinkToFit="0" wrapText="1"/>
    </xf>
    <xf borderId="57" fillId="0" fontId="28" numFmtId="166" xfId="0" applyAlignment="1" applyBorder="1" applyFont="1" applyNumberFormat="1">
      <alignment shrinkToFit="0" vertical="bottom" wrapText="1"/>
    </xf>
    <xf borderId="20" fillId="14" fontId="25" numFmtId="0" xfId="0" applyAlignment="1" applyBorder="1" applyFill="1" applyFont="1">
      <alignment horizontal="center" readingOrder="0" shrinkToFit="0" vertical="center" wrapText="1"/>
    </xf>
    <xf borderId="23" fillId="15" fontId="8" numFmtId="0" xfId="0" applyAlignment="1" applyBorder="1" applyFill="1" applyFont="1">
      <alignment readingOrder="0" shrinkToFit="0" wrapText="1"/>
    </xf>
    <xf borderId="32" fillId="0" fontId="8" numFmtId="0" xfId="0" applyAlignment="1" applyBorder="1" applyFont="1">
      <alignment horizontal="center" readingOrder="0" shrinkToFit="0" wrapText="1"/>
    </xf>
    <xf borderId="34" fillId="0" fontId="8" numFmtId="0" xfId="0" applyAlignment="1" applyBorder="1" applyFont="1">
      <alignment horizontal="center" readingOrder="0" shrinkToFit="0" wrapText="1"/>
    </xf>
    <xf borderId="20" fillId="15" fontId="11" numFmtId="0" xfId="0" applyAlignment="1" applyBorder="1" applyFill="1" applyFont="1">
      <alignment shrinkToFit="0" wrapText="1"/>
    </xf>
    <xf borderId="23" fillId="15" fontId="37" numFmtId="3" xfId="0" applyAlignment="1" applyBorder="1" applyFill="1" applyFont="1" applyNumberFormat="1">
      <alignment readingOrder="0" shrinkToFit="0" wrapText="1"/>
    </xf>
    <xf borderId="25" fillId="0" fontId="11" numFmtId="164" xfId="0" applyAlignment="1" applyBorder="1" applyFont="1" applyNumberFormat="1">
      <alignment readingOrder="0" shrinkToFit="0" wrapText="1"/>
    </xf>
    <xf borderId="23" fillId="0" fontId="8" numFmtId="0" xfId="0" applyAlignment="1" applyBorder="1" applyFont="1">
      <alignment shrinkToFit="0" wrapText="1"/>
    </xf>
    <xf borderId="23" fillId="5" fontId="28" numFmtId="10" xfId="0" applyAlignment="1" applyBorder="1" applyFill="1" applyFont="1" applyNumberFormat="1">
      <alignment readingOrder="0" shrinkToFit="0" wrapText="1"/>
    </xf>
    <xf borderId="25" fillId="0" fontId="38" numFmtId="164" xfId="0" applyAlignment="1" applyBorder="1" applyFont="1" applyNumberFormat="1">
      <alignment shrinkToFit="0" wrapText="1"/>
    </xf>
    <xf borderId="23" fillId="5" fontId="9" numFmtId="10" xfId="0" applyAlignment="1" applyBorder="1" applyFill="1" applyFont="1" applyNumberFormat="1">
      <alignment readingOrder="0" shrinkToFit="0" wrapText="1"/>
    </xf>
    <xf borderId="46" fillId="7" fontId="9" numFmtId="166" xfId="0" applyAlignment="1" applyBorder="1" applyFill="1" applyFont="1" applyNumberFormat="1">
      <alignment horizontal="right" shrinkToFit="0" vertical="bottom" wrapText="1"/>
    </xf>
    <xf borderId="23" fillId="5" fontId="28" numFmtId="164" xfId="0" applyAlignment="1" applyBorder="1" applyFill="1" applyFont="1" applyNumberFormat="1">
      <alignment readingOrder="0" shrinkToFit="0" wrapText="1"/>
    </xf>
    <xf borderId="23" fillId="5" fontId="11" numFmtId="10" xfId="0" applyAlignment="1" applyBorder="1" applyFill="1" applyFont="1" applyNumberFormat="1">
      <alignment readingOrder="0" shrinkToFit="0" wrapText="1"/>
    </xf>
    <xf borderId="46" fillId="13" fontId="27" numFmtId="10" xfId="0" applyAlignment="1" applyBorder="1" applyFill="1" applyFont="1" applyNumberFormat="1">
      <alignment readingOrder="0" shrinkToFit="0" vertical="bottom" wrapText="1"/>
    </xf>
    <xf borderId="23" fillId="0" fontId="8" numFmtId="0" xfId="0" applyAlignment="1" applyBorder="1" applyFont="1">
      <alignment horizontal="center" shrinkToFit="0" wrapText="1"/>
    </xf>
    <xf borderId="46" fillId="7" fontId="28" numFmtId="10" xfId="0" applyAlignment="1" applyBorder="1" applyFill="1" applyFont="1" applyNumberFormat="1">
      <alignment horizontal="right" shrinkToFit="0" vertical="bottom" wrapText="1"/>
    </xf>
    <xf borderId="20" fillId="15" fontId="37" numFmtId="3" xfId="0" applyAlignment="1" applyBorder="1" applyFill="1" applyFont="1" applyNumberFormat="1">
      <alignment readingOrder="0" shrinkToFit="0" wrapText="1"/>
    </xf>
    <xf borderId="4" fillId="0" fontId="11" numFmtId="164" xfId="0" applyAlignment="1" applyBorder="1" applyFont="1" applyNumberFormat="1">
      <alignment shrinkToFit="0" wrapText="1"/>
    </xf>
    <xf borderId="46" fillId="0" fontId="28" numFmtId="164" xfId="0" applyAlignment="1" applyBorder="1" applyFont="1" applyNumberFormat="1">
      <alignment shrinkToFit="0" vertical="bottom" wrapText="1"/>
    </xf>
    <xf borderId="23" fillId="0" fontId="1" numFmtId="0" xfId="0" applyAlignment="1" applyBorder="1" applyFont="1">
      <alignment readingOrder="0" shrinkToFit="0" wrapText="1"/>
    </xf>
    <xf borderId="15" fillId="5" fontId="9" numFmtId="10" xfId="0" applyAlignment="1" applyBorder="1" applyFill="1" applyFont="1" applyNumberFormat="1">
      <alignment readingOrder="0" shrinkToFit="0" wrapText="1"/>
    </xf>
    <xf borderId="46" fillId="7" fontId="28" numFmtId="0" xfId="0" applyAlignment="1" applyBorder="1" applyFill="1" applyFont="1">
      <alignment horizontal="right" shrinkToFit="0" vertical="bottom" wrapText="1"/>
    </xf>
    <xf borderId="23" fillId="5" fontId="11" numFmtId="164" xfId="0" applyAlignment="1" applyBorder="1" applyFill="1" applyFont="1" applyNumberFormat="1">
      <alignment shrinkToFit="0" wrapText="1"/>
    </xf>
    <xf borderId="20" fillId="15" fontId="39" numFmtId="0" xfId="0" applyAlignment="1" applyBorder="1" applyFill="1" applyFont="1">
      <alignment shrinkToFit="0" wrapText="1"/>
    </xf>
    <xf borderId="4" fillId="0" fontId="38" numFmtId="164" xfId="0" applyAlignment="1" applyBorder="1" applyFont="1" applyNumberFormat="1">
      <alignment readingOrder="0" shrinkToFit="0" wrapText="1"/>
    </xf>
    <xf borderId="47" fillId="7" fontId="27" numFmtId="0" xfId="0" applyAlignment="1" applyBorder="1" applyFill="1" applyFont="1">
      <alignment shrinkToFit="0" vertical="bottom" wrapText="1"/>
    </xf>
    <xf borderId="15" fillId="16" fontId="35" numFmtId="0" xfId="0" applyAlignment="1" applyBorder="1" applyFill="1" applyFont="1">
      <alignment readingOrder="0" shrinkToFit="0" vertical="center" wrapText="1"/>
    </xf>
    <xf borderId="49" fillId="7" fontId="27" numFmtId="166" xfId="0" applyAlignment="1" applyBorder="1" applyFill="1" applyFont="1" applyNumberFormat="1">
      <alignment horizontal="right" shrinkToFit="0" vertical="bottom" wrapText="1"/>
    </xf>
    <xf borderId="32" fillId="0" fontId="32" numFmtId="164" xfId="0" applyAlignment="1" applyBorder="1" applyFont="1" applyNumberFormat="1">
      <alignment shrinkToFit="0" wrapText="1"/>
    </xf>
    <xf borderId="23" fillId="5" fontId="11" numFmtId="0" xfId="0" applyAlignment="1" applyBorder="1" applyFill="1" applyFont="1">
      <alignment shrinkToFit="0" wrapText="1"/>
    </xf>
    <xf borderId="25" fillId="0" fontId="38" numFmtId="164" xfId="0" applyAlignment="1" applyBorder="1" applyFont="1" applyNumberFormat="1">
      <alignment readingOrder="0" shrinkToFit="0" wrapText="1"/>
    </xf>
    <xf borderId="23" fillId="0" fontId="11" numFmtId="0" xfId="0" applyAlignment="1" applyBorder="1" applyFont="1">
      <alignment shrinkToFit="0" wrapText="1"/>
    </xf>
    <xf borderId="25" fillId="5" fontId="11" numFmtId="164" xfId="0" applyAlignment="1" applyBorder="1" applyFill="1" applyFont="1" applyNumberFormat="1">
      <alignment shrinkToFit="0" wrapText="1"/>
    </xf>
    <xf borderId="23" fillId="0" fontId="9" numFmtId="0" xfId="0" applyAlignment="1" applyBorder="1" applyFont="1">
      <alignment readingOrder="0" shrinkToFit="0" wrapText="1"/>
    </xf>
    <xf borderId="47" fillId="0" fontId="28" numFmtId="0" xfId="0" applyAlignment="1" applyBorder="1" applyFont="1">
      <alignment shrinkToFit="0" vertical="bottom" wrapText="1"/>
    </xf>
    <xf borderId="48" fillId="0" fontId="2" numFmtId="0" xfId="0" applyAlignment="1" applyBorder="1" applyFont="1">
      <alignment shrinkToFit="0" wrapText="1"/>
    </xf>
    <xf borderId="23" fillId="16" fontId="35" numFmtId="0" xfId="0" applyAlignment="1" applyBorder="1" applyFill="1" applyFont="1">
      <alignment readingOrder="0" shrinkToFit="0" vertical="center" wrapText="1"/>
    </xf>
    <xf borderId="49" fillId="13" fontId="36" numFmtId="10" xfId="0" applyAlignment="1" applyBorder="1" applyFill="1" applyFont="1" applyNumberFormat="1">
      <alignment shrinkToFit="0" vertical="bottom" wrapText="1"/>
    </xf>
    <xf borderId="58" fillId="0" fontId="28" numFmtId="166" xfId="0" applyAlignment="1" applyBorder="1" applyFont="1" applyNumberFormat="1">
      <alignment shrinkToFit="0" vertical="bottom" wrapText="1"/>
    </xf>
    <xf borderId="59" fillId="0" fontId="28" numFmtId="166" xfId="0" applyAlignment="1" applyBorder="1" applyFont="1" applyNumberFormat="1">
      <alignment shrinkToFit="0" vertical="bottom" wrapText="1"/>
    </xf>
    <xf borderId="42" fillId="4" fontId="1" numFmtId="0" xfId="0" applyAlignment="1" applyBorder="1" applyFill="1" applyFont="1">
      <alignment shrinkToFit="0" vertical="bottom" wrapText="1"/>
    </xf>
    <xf borderId="46" fillId="4" fontId="1" numFmtId="166" xfId="0" applyAlignment="1" applyBorder="1" applyFill="1" applyFont="1" applyNumberFormat="1">
      <alignment horizontal="right" shrinkToFit="0" vertical="bottom" wrapText="1"/>
    </xf>
    <xf borderId="23" fillId="15" fontId="11" numFmtId="0" xfId="0" applyAlignment="1" applyBorder="1" applyFill="1" applyFont="1">
      <alignment shrinkToFit="0" wrapText="1"/>
    </xf>
    <xf borderId="0" fillId="15" fontId="11" numFmtId="0" xfId="0" applyAlignment="1" applyFill="1" applyFont="1">
      <alignment shrinkToFit="0" wrapText="1"/>
    </xf>
    <xf borderId="25" fillId="0" fontId="11" numFmtId="0" xfId="0" applyAlignment="1" applyBorder="1" applyFont="1">
      <alignment shrinkToFit="0" wrapText="1"/>
    </xf>
    <xf borderId="42" fillId="4" fontId="28" numFmtId="0" xfId="0" applyAlignment="1" applyBorder="1" applyFill="1" applyFont="1">
      <alignment shrinkToFit="0" vertical="bottom" wrapText="1"/>
    </xf>
    <xf borderId="46" fillId="4" fontId="28" numFmtId="164" xfId="0" applyAlignment="1" applyBorder="1" applyFill="1" applyFont="1" applyNumberFormat="1">
      <alignment shrinkToFit="0" vertical="bottom" wrapText="1"/>
    </xf>
    <xf borderId="1" fillId="0" fontId="40" numFmtId="0" xfId="0" applyAlignment="1" applyBorder="1" applyFont="1">
      <alignment horizontal="center" readingOrder="0" shrinkToFit="0" wrapText="1"/>
    </xf>
    <xf borderId="50" fillId="4" fontId="28" numFmtId="166" xfId="0" applyAlignment="1" applyBorder="1" applyFill="1" applyFont="1" applyNumberFormat="1">
      <alignment shrinkToFit="0" vertical="bottom" wrapText="1"/>
    </xf>
    <xf borderId="60" fillId="13" fontId="1" numFmtId="0" xfId="0" applyAlignment="1" applyBorder="1" applyFill="1" applyFont="1">
      <alignment readingOrder="0" shrinkToFit="0" wrapText="1"/>
    </xf>
    <xf borderId="53" fillId="4" fontId="28" numFmtId="166" xfId="0" applyAlignment="1" applyBorder="1" applyFill="1" applyFont="1" applyNumberFormat="1">
      <alignment shrinkToFit="0" vertical="bottom" wrapText="1"/>
    </xf>
    <xf borderId="60" fillId="0" fontId="40" numFmtId="0" xfId="0" applyAlignment="1" applyBorder="1" applyFont="1">
      <alignment horizontal="center" readingOrder="0" shrinkToFit="0" wrapText="1"/>
    </xf>
    <xf borderId="15" fillId="0" fontId="8" numFmtId="0" xfId="0" applyAlignment="1" applyBorder="1" applyFont="1">
      <alignment shrinkToFit="0" wrapText="1"/>
    </xf>
    <xf borderId="15" fillId="5" fontId="11" numFmtId="9" xfId="0" applyAlignment="1" applyBorder="1" applyFill="1" applyFont="1" applyNumberFormat="1">
      <alignment readingOrder="0" shrinkToFit="0" wrapText="1"/>
    </xf>
    <xf borderId="26" fillId="0" fontId="33" numFmtId="164" xfId="0" applyAlignment="1" applyBorder="1" applyFont="1" applyNumberFormat="1">
      <alignment shrinkToFit="0" wrapText="1"/>
    </xf>
    <xf borderId="28" fillId="4" fontId="28" numFmtId="166" xfId="0" applyAlignment="1" applyBorder="1" applyFill="1" applyFont="1" applyNumberFormat="1">
      <alignment shrinkToFit="0" vertical="bottom" wrapText="1"/>
    </xf>
    <xf borderId="57" fillId="4" fontId="28" numFmtId="166" xfId="0" applyAlignment="1" applyBorder="1" applyFill="1" applyFont="1" applyNumberFormat="1">
      <alignment shrinkToFit="0" vertical="bottom" wrapText="1"/>
    </xf>
    <xf borderId="8" fillId="13" fontId="36" numFmtId="166" xfId="0" applyAlignment="1" applyBorder="1" applyFill="1" applyFont="1" applyNumberFormat="1">
      <alignment readingOrder="0" shrinkToFit="0" wrapText="1"/>
    </xf>
    <xf borderId="8" fillId="0" fontId="33" numFmtId="164" xfId="0" applyAlignment="1" applyBorder="1" applyFont="1" applyNumberFormat="1">
      <alignment shrinkToFit="0" wrapText="1"/>
    </xf>
    <xf borderId="49" fillId="4" fontId="1" numFmtId="10" xfId="0" applyAlignment="1" applyBorder="1" applyFill="1" applyFont="1" applyNumberFormat="1">
      <alignment horizontal="right" shrinkToFit="0" vertical="bottom" wrapText="1"/>
    </xf>
    <xf borderId="47" fillId="4" fontId="41" numFmtId="0" xfId="0" applyAlignment="1" applyBorder="1" applyFill="1" applyFont="1">
      <alignment shrinkToFit="0" vertical="bottom" wrapText="1"/>
    </xf>
    <xf borderId="8" fillId="17" fontId="1" numFmtId="0" xfId="0" applyAlignment="1" applyBorder="1" applyFill="1" applyFont="1">
      <alignment readingOrder="0" shrinkToFit="0" wrapText="1"/>
    </xf>
    <xf borderId="49" fillId="4" fontId="41" numFmtId="10" xfId="0" applyAlignment="1" applyBorder="1" applyFill="1" applyFont="1" applyNumberFormat="1">
      <alignment horizontal="right" shrinkToFit="0" vertical="bottom" wrapText="1"/>
    </xf>
    <xf borderId="47" fillId="4" fontId="28" numFmtId="0" xfId="0" applyAlignment="1" applyBorder="1" applyFill="1" applyFont="1">
      <alignment shrinkToFit="0" vertical="bottom" wrapText="1"/>
    </xf>
    <xf borderId="28" fillId="0" fontId="1" numFmtId="0" xfId="0" applyAlignment="1" applyBorder="1" applyFont="1">
      <alignment readingOrder="0" shrinkToFit="0" wrapText="1"/>
    </xf>
    <xf borderId="49" fillId="4" fontId="28" numFmtId="164" xfId="0" applyAlignment="1" applyBorder="1" applyFill="1" applyFont="1" applyNumberFormat="1">
      <alignment shrinkToFit="0" vertical="bottom" wrapText="1"/>
    </xf>
    <xf borderId="26" fillId="0" fontId="33" numFmtId="10" xfId="0" applyAlignment="1" applyBorder="1" applyFont="1" applyNumberFormat="1">
      <alignment shrinkToFit="0" wrapText="1"/>
    </xf>
    <xf borderId="58" fillId="4" fontId="28" numFmtId="166" xfId="0" applyAlignment="1" applyBorder="1" applyFill="1" applyFont="1" applyNumberFormat="1">
      <alignment shrinkToFit="0" vertical="bottom" wrapText="1"/>
    </xf>
    <xf borderId="8" fillId="0" fontId="33" numFmtId="10" xfId="0" applyAlignment="1" applyBorder="1" applyFont="1" applyNumberFormat="1">
      <alignment shrinkToFit="0" wrapText="1"/>
    </xf>
    <xf borderId="23" fillId="5" fontId="9" numFmtId="9" xfId="0" applyAlignment="1" applyBorder="1" applyFill="1" applyFont="1" applyNumberFormat="1">
      <alignment readingOrder="0" shrinkToFit="0" wrapText="1"/>
    </xf>
    <xf borderId="59" fillId="4" fontId="28" numFmtId="166" xfId="0" applyAlignment="1" applyBorder="1" applyFill="1" applyFont="1" applyNumberFormat="1">
      <alignment shrinkToFit="0" vertical="bottom" wrapText="1"/>
    </xf>
    <xf borderId="26" fillId="0" fontId="33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 shrinkToFit="0" wrapText="1"/>
    </xf>
    <xf borderId="12" fillId="10" fontId="27" numFmtId="0" xfId="0" applyAlignment="1" applyBorder="1" applyFill="1" applyFont="1">
      <alignment shrinkToFit="0" vertical="bottom" wrapText="1"/>
    </xf>
    <xf borderId="14" fillId="10" fontId="27" numFmtId="4" xfId="0" applyAlignment="1" applyBorder="1" applyFill="1" applyFont="1" applyNumberFormat="1">
      <alignment shrinkToFit="0" vertical="bottom" wrapText="1"/>
    </xf>
    <xf borderId="60" fillId="18" fontId="1" numFmtId="0" xfId="0" applyAlignment="1" applyBorder="1" applyFill="1" applyFont="1">
      <alignment readingOrder="0" shrinkToFit="0" wrapText="1"/>
    </xf>
    <xf borderId="29" fillId="5" fontId="18" numFmtId="0" xfId="0" applyAlignment="1" applyBorder="1" applyFill="1" applyFont="1">
      <alignment shrinkToFit="0" wrapText="1"/>
    </xf>
    <xf borderId="30" fillId="5" fontId="18" numFmtId="164" xfId="0" applyAlignment="1" applyBorder="1" applyFill="1" applyFont="1" applyNumberFormat="1">
      <alignment shrinkToFit="0" wrapText="1"/>
    </xf>
    <xf borderId="50" fillId="10" fontId="27" numFmtId="4" xfId="0" applyAlignment="1" applyBorder="1" applyFill="1" applyFont="1" applyNumberFormat="1">
      <alignment shrinkToFit="0" vertical="bottom" wrapText="1"/>
    </xf>
    <xf borderId="53" fillId="10" fontId="27" numFmtId="4" xfId="0" applyAlignment="1" applyBorder="1" applyFill="1" applyFont="1" applyNumberFormat="1">
      <alignment shrinkToFit="0" vertical="bottom" wrapText="1"/>
    </xf>
    <xf borderId="25" fillId="0" fontId="42" numFmtId="164" xfId="0" applyAlignment="1" applyBorder="1" applyFont="1" applyNumberFormat="1">
      <alignment readingOrder="0" shrinkToFit="0" wrapText="1"/>
    </xf>
    <xf borderId="0" fillId="19" fontId="26" numFmtId="0" xfId="0" applyAlignment="1" applyFill="1" applyFont="1">
      <alignment horizontal="center" readingOrder="0" shrinkToFit="0" vertical="center" wrapText="1"/>
    </xf>
    <xf borderId="19" fillId="13" fontId="1" numFmtId="10" xfId="0" applyAlignment="1" applyBorder="1" applyFill="1" applyFont="1" applyNumberFormat="1">
      <alignment readingOrder="0" shrinkToFit="0" vertical="bottom" wrapText="1"/>
    </xf>
    <xf borderId="47" fillId="10" fontId="1" numFmtId="0" xfId="0" applyAlignment="1" applyBorder="1" applyFill="1" applyFont="1">
      <alignment shrinkToFit="0" vertical="bottom" wrapText="1"/>
    </xf>
    <xf borderId="49" fillId="10" fontId="1" numFmtId="164" xfId="0" applyAlignment="1" applyBorder="1" applyFill="1" applyFont="1" applyNumberFormat="1">
      <alignment shrinkToFit="0" vertical="bottom" wrapText="1"/>
    </xf>
    <xf borderId="8" fillId="18" fontId="36" numFmtId="166" xfId="0" applyAlignment="1" applyBorder="1" applyFill="1" applyFont="1" applyNumberFormat="1">
      <alignment readingOrder="0" shrinkToFit="0" wrapText="1"/>
    </xf>
    <xf borderId="58" fillId="10" fontId="1" numFmtId="166" xfId="0" applyAlignment="1" applyBorder="1" applyFill="1" applyFont="1" applyNumberFormat="1">
      <alignment shrinkToFit="0" vertical="bottom" wrapText="1"/>
    </xf>
    <xf borderId="59" fillId="10" fontId="1" numFmtId="166" xfId="0" applyAlignment="1" applyBorder="1" applyFill="1" applyFont="1" applyNumberFormat="1">
      <alignment shrinkToFit="0" vertical="bottom" wrapText="1"/>
    </xf>
    <xf borderId="15" fillId="5" fontId="11" numFmtId="0" xfId="0" applyAlignment="1" applyBorder="1" applyFill="1" applyFont="1">
      <alignment shrinkToFit="0" wrapText="1"/>
    </xf>
    <xf borderId="14" fillId="0" fontId="9" numFmtId="0" xfId="0" applyAlignment="1" applyBorder="1" applyFont="1">
      <alignment shrinkToFit="0" vertical="bottom" wrapText="1"/>
    </xf>
    <xf borderId="17" fillId="0" fontId="42" numFmtId="164" xfId="0" applyAlignment="1" applyBorder="1" applyFont="1" applyNumberFormat="1">
      <alignment readingOrder="0" shrinkToFit="0" wrapText="1"/>
    </xf>
    <xf borderId="61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shrinkToFit="0" vertical="bottom" wrapText="1"/>
    </xf>
    <xf borderId="62" fillId="0" fontId="33" numFmtId="0" xfId="0" applyAlignment="1" applyBorder="1" applyFont="1">
      <alignment horizontal="center" shrinkToFit="0" wrapText="1"/>
    </xf>
    <xf borderId="46" fillId="13" fontId="27" numFmtId="166" xfId="0" applyAlignment="1" applyBorder="1" applyFill="1" applyFont="1" applyNumberFormat="1">
      <alignment readingOrder="0" shrinkToFit="0" vertical="bottom" wrapText="1"/>
    </xf>
    <xf borderId="63" fillId="17" fontId="1" numFmtId="0" xfId="0" applyAlignment="1" applyBorder="1" applyFill="1" applyFont="1">
      <alignment readingOrder="0" shrinkToFit="0" wrapText="1"/>
    </xf>
    <xf borderId="63" fillId="0" fontId="33" numFmtId="0" xfId="0" applyAlignment="1" applyBorder="1" applyFont="1">
      <alignment horizontal="center" shrinkToFit="0" wrapText="1"/>
    </xf>
    <xf borderId="17" fillId="0" fontId="11" numFmtId="0" xfId="0" applyAlignment="1" applyBorder="1" applyFont="1">
      <alignment shrinkToFit="0" wrapText="1"/>
    </xf>
    <xf borderId="42" fillId="0" fontId="28" numFmtId="0" xfId="0" applyAlignment="1" applyBorder="1" applyFont="1">
      <alignment horizontal="left" readingOrder="0" shrinkToFit="0" vertical="bottom" wrapText="1"/>
    </xf>
    <xf borderId="11" fillId="13" fontId="1" numFmtId="10" xfId="0" applyAlignment="1" applyBorder="1" applyFill="1" applyFont="1" applyNumberFormat="1">
      <alignment readingOrder="0" shrinkToFit="0" wrapText="1"/>
    </xf>
    <xf borderId="13" fillId="0" fontId="9" numFmtId="0" xfId="0" applyAlignment="1" applyBorder="1" applyFont="1">
      <alignment shrinkToFit="0" vertical="bottom" wrapText="1"/>
    </xf>
    <xf borderId="7" fillId="0" fontId="9" numFmtId="166" xfId="0" applyAlignment="1" applyBorder="1" applyFont="1" applyNumberFormat="1">
      <alignment shrinkToFit="0" vertical="bottom" wrapText="1"/>
    </xf>
    <xf borderId="0" fillId="19" fontId="1" numFmtId="0" xfId="0" applyAlignment="1" applyFill="1" applyFont="1">
      <alignment shrinkToFit="0" vertical="bottom" wrapText="1"/>
    </xf>
    <xf borderId="54" fillId="0" fontId="9" numFmtId="166" xfId="0" applyAlignment="1" applyBorder="1" applyFont="1" applyNumberFormat="1">
      <alignment shrinkToFit="0" vertical="bottom" wrapText="1"/>
    </xf>
    <xf borderId="64" fillId="0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readingOrder="0" shrinkToFit="0" vertical="bottom" wrapText="1"/>
    </xf>
    <xf borderId="65" fillId="0" fontId="1" numFmtId="0" xfId="0" applyAlignment="1" applyBorder="1" applyFont="1">
      <alignment shrinkToFit="0" wrapText="1"/>
    </xf>
    <xf borderId="66" fillId="0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shrinkToFit="0" vertical="bottom" wrapText="1"/>
    </xf>
    <xf borderId="55" fillId="0" fontId="9" numFmtId="4" xfId="0" applyAlignment="1" applyBorder="1" applyFont="1" applyNumberFormat="1">
      <alignment readingOrder="0" shrinkToFit="0" wrapText="1"/>
    </xf>
    <xf borderId="18" fillId="4" fontId="1" numFmtId="166" xfId="0" applyAlignment="1" applyBorder="1" applyFill="1" applyFont="1" applyNumberFormat="1">
      <alignment shrinkToFit="0" vertical="bottom" wrapText="1"/>
    </xf>
    <xf borderId="43" fillId="0" fontId="9" numFmtId="0" xfId="0" applyAlignment="1" applyBorder="1" applyFont="1">
      <alignment shrinkToFit="0" wrapText="1"/>
    </xf>
    <xf borderId="40" fillId="0" fontId="9" numFmtId="166" xfId="0" applyAlignment="1" applyBorder="1" applyFont="1" applyNumberFormat="1">
      <alignment shrinkToFit="0" vertical="bottom" wrapText="1"/>
    </xf>
    <xf borderId="40" fillId="0" fontId="9" numFmtId="166" xfId="0" applyAlignment="1" applyBorder="1" applyFont="1" applyNumberFormat="1">
      <alignment shrinkToFit="0" wrapText="1"/>
    </xf>
    <xf borderId="41" fillId="4" fontId="1" numFmtId="10" xfId="0" applyAlignment="1" applyBorder="1" applyFill="1" applyFont="1" applyNumberFormat="1">
      <alignment shrinkToFit="0" wrapText="1"/>
    </xf>
    <xf borderId="67" fillId="0" fontId="9" numFmtId="4" xfId="0" applyAlignment="1" applyBorder="1" applyFont="1" applyNumberFormat="1">
      <alignment readingOrder="0" shrinkToFit="0" wrapText="1"/>
    </xf>
    <xf borderId="48" fillId="0" fontId="9" numFmtId="4" xfId="0" applyAlignment="1" applyBorder="1" applyFont="1" applyNumberFormat="1">
      <alignment readingOrder="0" shrinkToFit="0" vertical="bottom" wrapText="1"/>
    </xf>
    <xf borderId="68" fillId="13" fontId="1" numFmtId="166" xfId="0" applyAlignment="1" applyBorder="1" applyFill="1" applyFont="1" applyNumberFormat="1">
      <alignment readingOrder="0" shrinkToFit="0" vertical="bottom" wrapText="1"/>
    </xf>
    <xf borderId="49" fillId="13" fontId="27" numFmtId="166" xfId="0" applyAlignment="1" applyBorder="1" applyFill="1" applyFont="1" applyNumberFormat="1">
      <alignment readingOrder="0" shrinkToFit="0" vertical="bottom" wrapText="1"/>
    </xf>
    <xf borderId="56" fillId="0" fontId="9" numFmtId="0" xfId="0" applyAlignment="1" applyBorder="1" applyFont="1">
      <alignment shrinkToFit="0" wrapText="1"/>
    </xf>
    <xf borderId="55" fillId="0" fontId="9" numFmtId="166" xfId="0" applyAlignment="1" applyBorder="1" applyFont="1" applyNumberFormat="1">
      <alignment shrinkToFit="0" vertical="bottom" wrapText="1"/>
    </xf>
    <xf borderId="55" fillId="0" fontId="9" numFmtId="166" xfId="0" applyAlignment="1" applyBorder="1" applyFont="1" applyNumberFormat="1">
      <alignment shrinkToFit="0" wrapText="1"/>
    </xf>
    <xf borderId="69" fillId="4" fontId="1" numFmtId="10" xfId="0" applyAlignment="1" applyBorder="1" applyFill="1" applyFont="1" applyNumberFormat="1">
      <alignment shrinkToFit="0" wrapText="1"/>
    </xf>
    <xf borderId="47" fillId="0" fontId="9" numFmtId="0" xfId="0" applyAlignment="1" applyBorder="1" applyFont="1">
      <alignment horizontal="right" shrinkToFit="0" wrapText="1"/>
    </xf>
    <xf borderId="18" fillId="4" fontId="9" numFmtId="166" xfId="0" applyAlignment="1" applyBorder="1" applyFill="1" applyFont="1" applyNumberFormat="1">
      <alignment shrinkToFit="0" vertical="bottom" wrapText="1"/>
    </xf>
    <xf borderId="64" fillId="0" fontId="27" numFmtId="0" xfId="0" applyAlignment="1" applyBorder="1" applyFont="1">
      <alignment shrinkToFit="0" vertical="bottom" wrapText="1"/>
    </xf>
    <xf borderId="67" fillId="0" fontId="27" numFmtId="0" xfId="0" applyAlignment="1" applyBorder="1" applyFont="1">
      <alignment shrinkToFit="0" vertical="bottom" wrapText="1"/>
    </xf>
    <xf borderId="48" fillId="0" fontId="27" numFmtId="166" xfId="0" applyAlignment="1" applyBorder="1" applyFont="1" applyNumberFormat="1">
      <alignment shrinkToFit="0" vertical="top" wrapText="1"/>
    </xf>
    <xf borderId="68" fillId="0" fontId="27" numFmtId="166" xfId="0" applyAlignment="1" applyBorder="1" applyFont="1" applyNumberFormat="1">
      <alignment shrinkToFit="0" vertical="top" wrapText="1"/>
    </xf>
    <xf borderId="49" fillId="0" fontId="27" numFmtId="166" xfId="0" applyAlignment="1" applyBorder="1" applyFont="1" applyNumberFormat="1">
      <alignment shrinkToFit="0" vertical="top" wrapText="1"/>
    </xf>
    <xf borderId="69" fillId="13" fontId="27" numFmtId="166" xfId="0" applyAlignment="1" applyBorder="1" applyFill="1" applyFont="1" applyNumberFormat="1">
      <alignment readingOrder="0" shrinkToFit="0" vertical="bottom" wrapText="1"/>
    </xf>
    <xf borderId="46" fillId="13" fontId="27" numFmtId="10" xfId="0" applyAlignment="1" applyBorder="1" applyFill="1" applyFont="1" applyNumberFormat="1">
      <alignment shrinkToFit="0" vertical="bottom" wrapText="1"/>
    </xf>
    <xf borderId="0" fillId="4" fontId="1" numFmtId="0" xfId="0" applyAlignment="1" applyFill="1" applyFont="1">
      <alignment shrinkToFit="0" vertical="bottom" wrapText="1"/>
    </xf>
    <xf borderId="54" fillId="4" fontId="1" numFmtId="166" xfId="0" applyAlignment="1" applyBorder="1" applyFill="1" applyFont="1" applyNumberFormat="1">
      <alignment shrinkToFit="0" vertical="bottom" wrapText="1"/>
    </xf>
    <xf borderId="46" fillId="4" fontId="27" numFmtId="166" xfId="0" applyAlignment="1" applyBorder="1" applyFill="1" applyFont="1" applyNumberFormat="1">
      <alignment shrinkToFit="0" vertical="bottom" wrapText="1"/>
    </xf>
    <xf borderId="60" fillId="0" fontId="24" numFmtId="164" xfId="0" applyAlignment="1" applyBorder="1" applyFont="1" applyNumberFormat="1">
      <alignment shrinkToFit="0" wrapText="1"/>
    </xf>
    <xf borderId="68" fillId="0" fontId="9" numFmtId="0" xfId="0" applyAlignment="1" applyBorder="1" applyFont="1">
      <alignment shrinkToFit="0" wrapText="1"/>
    </xf>
    <xf borderId="67" fillId="0" fontId="9" numFmtId="166" xfId="0" applyAlignment="1" applyBorder="1" applyFont="1" applyNumberFormat="1">
      <alignment shrinkToFit="0" vertical="bottom" wrapText="1"/>
    </xf>
    <xf borderId="67" fillId="0" fontId="9" numFmtId="166" xfId="0" applyAlignment="1" applyBorder="1" applyFont="1" applyNumberFormat="1">
      <alignment shrinkToFit="0" wrapText="1"/>
    </xf>
    <xf borderId="70" fillId="4" fontId="1" numFmtId="10" xfId="0" applyAlignment="1" applyBorder="1" applyFill="1" applyFont="1" applyNumberFormat="1">
      <alignment shrinkToFit="0" wrapText="1"/>
    </xf>
    <xf borderId="0" fillId="0" fontId="11" numFmtId="10" xfId="0" applyAlignment="1" applyFont="1" applyNumberFormat="1">
      <alignment shrinkToFit="0" wrapText="1"/>
    </xf>
    <xf borderId="12" fillId="0" fontId="1" numFmtId="0" xfId="0" applyAlignment="1" applyBorder="1" applyFont="1">
      <alignment shrinkToFit="0" wrapText="1"/>
    </xf>
    <xf borderId="7" fillId="13" fontId="1" numFmtId="166" xfId="0" applyAlignment="1" applyBorder="1" applyFill="1" applyFont="1" applyNumberFormat="1">
      <alignment readingOrder="0" shrinkToFit="0" wrapText="1"/>
    </xf>
    <xf borderId="7" fillId="13" fontId="1" numFmtId="9" xfId="0" applyAlignment="1" applyBorder="1" applyFill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42" fillId="0" fontId="1" numFmtId="0" xfId="0" applyAlignment="1" applyBorder="1" applyFont="1">
      <alignment shrinkToFit="0" wrapText="1"/>
    </xf>
    <xf borderId="54" fillId="13" fontId="1" numFmtId="166" xfId="0" applyAlignment="1" applyBorder="1" applyFill="1" applyFont="1" applyNumberFormat="1">
      <alignment readingOrder="0" shrinkToFit="0" wrapText="1"/>
    </xf>
    <xf borderId="54" fillId="13" fontId="1" numFmtId="10" xfId="0" applyAlignment="1" applyBorder="1" applyFill="1" applyFont="1" applyNumberFormat="1">
      <alignment readingOrder="0" shrinkToFit="0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54" fillId="13" fontId="1" numFmtId="0" xfId="0" applyAlignment="1" applyBorder="1" applyFill="1" applyFont="1">
      <alignment readingOrder="0" shrinkToFit="0" wrapText="1"/>
    </xf>
    <xf borderId="49" fillId="13" fontId="27" numFmtId="10" xfId="0" applyAlignment="1" applyBorder="1" applyFill="1" applyFont="1" applyNumberFormat="1">
      <alignment shrinkToFit="0" vertical="bottom" wrapText="1"/>
    </xf>
    <xf borderId="9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wrapText="1"/>
    </xf>
    <xf borderId="11" fillId="0" fontId="9" numFmtId="0" xfId="0" applyAlignment="1" applyBorder="1" applyFont="1">
      <alignment shrinkToFit="0" wrapText="1"/>
    </xf>
    <xf borderId="47" fillId="0" fontId="1" numFmtId="0" xfId="0" applyAlignment="1" applyBorder="1" applyFont="1">
      <alignment shrinkToFit="0" wrapText="1"/>
    </xf>
    <xf borderId="18" fillId="13" fontId="1" numFmtId="166" xfId="0" applyAlignment="1" applyBorder="1" applyFill="1" applyFont="1" applyNumberFormat="1">
      <alignment shrinkToFit="0" wrapText="1"/>
    </xf>
    <xf borderId="0" fillId="0" fontId="43" numFmtId="0" xfId="0" applyAlignment="1" applyFont="1">
      <alignment horizontal="left" readingOrder="0" shrinkToFit="0" wrapText="1"/>
    </xf>
    <xf borderId="54" fillId="0" fontId="9" numFmtId="0" xfId="0" applyAlignment="1" applyBorder="1" applyFont="1">
      <alignment shrinkToFit="0" wrapText="1"/>
    </xf>
    <xf borderId="12" fillId="0" fontId="9" numFmtId="10" xfId="0" applyAlignment="1" applyBorder="1" applyFont="1" applyNumberFormat="1">
      <alignment shrinkToFit="0" wrapText="1"/>
    </xf>
    <xf borderId="7" fillId="0" fontId="9" numFmtId="10" xfId="0" applyAlignment="1" applyBorder="1" applyFont="1" applyNumberFormat="1">
      <alignment shrinkToFit="0" wrapText="1"/>
    </xf>
    <xf borderId="13" fillId="0" fontId="9" numFmtId="10" xfId="0" applyAlignment="1" applyBorder="1" applyFont="1" applyNumberFormat="1">
      <alignment shrinkToFit="0" wrapText="1"/>
    </xf>
    <xf borderId="14" fillId="0" fontId="9" numFmtId="10" xfId="0" applyAlignment="1" applyBorder="1" applyFont="1" applyNumberFormat="1">
      <alignment shrinkToFit="0" wrapText="1"/>
    </xf>
    <xf borderId="42" fillId="0" fontId="9" numFmtId="10" xfId="0" applyAlignment="1" applyBorder="1" applyFont="1" applyNumberFormat="1">
      <alignment shrinkToFit="0" wrapText="1"/>
    </xf>
    <xf borderId="54" fillId="0" fontId="9" numFmtId="10" xfId="0" applyAlignment="1" applyBorder="1" applyFont="1" applyNumberFormat="1">
      <alignment shrinkToFit="0" wrapText="1"/>
    </xf>
    <xf borderId="55" fillId="0" fontId="28" numFmtId="4" xfId="0" applyAlignment="1" applyBorder="1" applyFont="1" applyNumberFormat="1">
      <alignment horizontal="right" shrinkToFit="0" vertical="bottom" wrapText="1"/>
    </xf>
    <xf borderId="0" fillId="0" fontId="28" numFmtId="4" xfId="0" applyAlignment="1" applyFont="1" applyNumberFormat="1">
      <alignment shrinkToFit="0" vertical="bottom" wrapText="1"/>
    </xf>
    <xf borderId="0" fillId="0" fontId="9" numFmtId="10" xfId="0" applyAlignment="1" applyFont="1" applyNumberFormat="1">
      <alignment shrinkToFit="0" wrapText="1"/>
    </xf>
    <xf borderId="46" fillId="13" fontId="27" numFmtId="166" xfId="0" applyAlignment="1" applyBorder="1" applyFill="1" applyFont="1" applyNumberFormat="1">
      <alignment shrinkToFit="0" vertical="bottom" wrapText="1"/>
    </xf>
    <xf borderId="46" fillId="0" fontId="9" numFmtId="10" xfId="0" applyAlignment="1" applyBorder="1" applyFont="1" applyNumberFormat="1">
      <alignment shrinkToFit="0" wrapText="1"/>
    </xf>
    <xf borderId="0" fillId="0" fontId="1" numFmtId="166" xfId="0" applyAlignment="1" applyFont="1" applyNumberFormat="1">
      <alignment horizontal="right" shrinkToFit="0" vertical="bottom" wrapText="1"/>
    </xf>
    <xf borderId="0" fillId="0" fontId="9" numFmtId="166" xfId="0" applyAlignment="1" applyFont="1" applyNumberFormat="1">
      <alignment horizontal="right" shrinkToFit="0" vertical="bottom" wrapText="1"/>
    </xf>
    <xf borderId="5" fillId="5" fontId="18" numFmtId="0" xfId="0" applyAlignment="1" applyBorder="1" applyFill="1" applyFont="1">
      <alignment shrinkToFit="0" wrapText="1"/>
    </xf>
    <xf borderId="71" fillId="5" fontId="14" numFmtId="0" xfId="0" applyAlignment="1" applyBorder="1" applyFill="1" applyFont="1">
      <alignment readingOrder="0" shrinkToFit="0" wrapText="1"/>
    </xf>
    <xf borderId="6" fillId="5" fontId="18" numFmtId="164" xfId="0" applyAlignment="1" applyBorder="1" applyFill="1" applyFont="1" applyNumberFormat="1">
      <alignment readingOrder="0" shrinkToFit="0" wrapText="1"/>
    </xf>
    <xf borderId="60" fillId="0" fontId="15" numFmtId="0" xfId="0" applyAlignment="1" applyBorder="1" applyFont="1">
      <alignment horizontal="right" readingOrder="0" shrinkToFit="0" vertical="center" wrapText="1"/>
    </xf>
    <xf borderId="60" fillId="0" fontId="16" numFmtId="0" xfId="0" applyAlignment="1" applyBorder="1" applyFont="1">
      <alignment shrinkToFit="0" vertical="center" wrapText="1"/>
    </xf>
    <xf borderId="0" fillId="0" fontId="14" numFmtId="164" xfId="0" applyAlignment="1" applyFont="1" applyNumberFormat="1">
      <alignment shrinkToFit="0" wrapText="1"/>
    </xf>
    <xf borderId="42" fillId="0" fontId="44" numFmtId="10" xfId="0" applyAlignment="1" applyBorder="1" applyFont="1" applyNumberFormat="1">
      <alignment shrinkToFit="0" wrapText="1"/>
    </xf>
    <xf borderId="1" fillId="0" fontId="15" numFmtId="0" xfId="0" applyAlignment="1" applyBorder="1" applyFont="1">
      <alignment horizontal="right" readingOrder="0" shrinkToFit="0" vertical="center" wrapText="1"/>
    </xf>
    <xf borderId="72" fillId="0" fontId="2" numFmtId="0" xfId="0" applyAlignment="1" applyBorder="1" applyFont="1">
      <alignment shrinkToFit="0" wrapText="1"/>
    </xf>
    <xf borderId="54" fillId="7" fontId="44" numFmtId="10" xfId="0" applyAlignment="1" applyBorder="1" applyFill="1" applyFont="1" applyNumberFormat="1">
      <alignment shrinkToFit="0" wrapText="1"/>
    </xf>
    <xf borderId="1" fillId="0" fontId="16" numFmtId="166" xfId="0" applyAlignment="1" applyBorder="1" applyFont="1" applyNumberFormat="1">
      <alignment shrinkToFit="0" vertical="center" wrapText="1"/>
    </xf>
    <xf borderId="0" fillId="7" fontId="44" numFmtId="10" xfId="0" applyAlignment="1" applyFill="1" applyFont="1" applyNumberFormat="1">
      <alignment shrinkToFit="0" wrapText="1"/>
    </xf>
    <xf borderId="60" fillId="0" fontId="16" numFmtId="166" xfId="0" applyAlignment="1" applyBorder="1" applyFont="1" applyNumberFormat="1">
      <alignment shrinkToFit="0" vertical="center" wrapText="1"/>
    </xf>
    <xf borderId="46" fillId="0" fontId="44" numFmtId="10" xfId="0" applyAlignment="1" applyBorder="1" applyFont="1" applyNumberFormat="1">
      <alignment shrinkToFit="0" wrapText="1"/>
    </xf>
    <xf borderId="0" fillId="0" fontId="18" numFmtId="0" xfId="0" applyAlignment="1" applyFont="1">
      <alignment horizontal="right" readingOrder="0" shrinkToFit="0" wrapText="1"/>
    </xf>
    <xf borderId="0" fillId="0" fontId="9" numFmtId="0" xfId="0" applyAlignment="1" applyFont="1">
      <alignment horizontal="right" shrinkToFit="0" vertical="bottom" wrapText="1"/>
    </xf>
    <xf borderId="18" fillId="0" fontId="9" numFmtId="0" xfId="0" applyAlignment="1" applyBorder="1" applyFont="1">
      <alignment shrinkToFit="0" wrapText="1"/>
    </xf>
    <xf borderId="15" fillId="0" fontId="45" numFmtId="0" xfId="0" applyAlignment="1" applyBorder="1" applyFont="1">
      <alignment readingOrder="0" shrinkToFit="0" wrapText="1"/>
    </xf>
    <xf borderId="73" fillId="0" fontId="2" numFmtId="0" xfId="0" applyAlignment="1" applyBorder="1" applyFont="1">
      <alignment shrinkToFit="0" wrapText="1"/>
    </xf>
    <xf borderId="19" fillId="13" fontId="1" numFmtId="10" xfId="0" applyAlignment="1" applyBorder="1" applyFill="1" applyFont="1" applyNumberFormat="1">
      <alignment shrinkToFit="0" vertical="bottom" wrapText="1"/>
    </xf>
    <xf borderId="74" fillId="0" fontId="2" numFmtId="0" xfId="0" applyAlignment="1" applyBorder="1" applyFont="1">
      <alignment shrinkToFit="0" wrapText="1"/>
    </xf>
    <xf borderId="75" fillId="0" fontId="2" numFmtId="0" xfId="0" applyAlignment="1" applyBorder="1" applyFont="1">
      <alignment shrinkToFit="0" wrapText="1"/>
    </xf>
    <xf borderId="16" fillId="0" fontId="14" numFmtId="0" xfId="0" applyAlignment="1" applyBorder="1" applyFont="1">
      <alignment shrinkToFit="0" wrapText="1"/>
    </xf>
    <xf borderId="17" fillId="0" fontId="14" numFmtId="0" xfId="0" applyAlignment="1" applyBorder="1" applyFont="1">
      <alignment shrinkToFit="0" wrapText="1"/>
    </xf>
    <xf borderId="42" fillId="10" fontId="1" numFmtId="0" xfId="0" applyAlignment="1" applyBorder="1" applyFill="1" applyFont="1">
      <alignment shrinkToFit="0" vertical="bottom" wrapText="1"/>
    </xf>
    <xf borderId="0" fillId="10" fontId="1" numFmtId="0" xfId="0" applyAlignment="1" applyFill="1" applyFont="1">
      <alignment shrinkToFit="0" vertical="bottom" wrapText="1"/>
    </xf>
    <xf borderId="54" fillId="10" fontId="1" numFmtId="166" xfId="0" applyAlignment="1" applyBorder="1" applyFill="1" applyFont="1" applyNumberFormat="1">
      <alignment shrinkToFit="0" vertical="bottom" wrapText="1"/>
    </xf>
    <xf borderId="19" fillId="10" fontId="1" numFmtId="0" xfId="0" applyAlignment="1" applyBorder="1" applyFill="1" applyFont="1">
      <alignment shrinkToFit="0" wrapText="1"/>
    </xf>
    <xf borderId="9" fillId="10" fontId="1" numFmtId="10" xfId="0" applyAlignment="1" applyBorder="1" applyFill="1" applyFont="1" applyNumberFormat="1">
      <alignment shrinkToFit="0" wrapText="1"/>
    </xf>
    <xf borderId="19" fillId="10" fontId="1" numFmtId="10" xfId="0" applyAlignment="1" applyBorder="1" applyFill="1" applyFont="1" applyNumberFormat="1">
      <alignment shrinkToFit="0" wrapText="1"/>
    </xf>
    <xf borderId="10" fillId="10" fontId="1" numFmtId="10" xfId="0" applyAlignment="1" applyBorder="1" applyFill="1" applyFont="1" applyNumberFormat="1">
      <alignment shrinkToFit="0" wrapText="1"/>
    </xf>
    <xf borderId="11" fillId="10" fontId="1" numFmtId="10" xfId="0" applyAlignment="1" applyBorder="1" applyFill="1" applyFont="1" applyNumberFormat="1">
      <alignment shrinkToFit="0" wrapText="1"/>
    </xf>
    <xf borderId="56" fillId="13" fontId="27" numFmtId="166" xfId="0" applyAlignment="1" applyBorder="1" applyFill="1" applyFont="1" applyNumberFormat="1">
      <alignment shrinkToFit="0" vertical="bottom" wrapText="1"/>
    </xf>
    <xf borderId="18" fillId="10" fontId="1" numFmtId="10" xfId="0" applyAlignment="1" applyBorder="1" applyFill="1" applyFont="1" applyNumberFormat="1">
      <alignment shrinkToFit="0" vertical="bottom" wrapText="1"/>
    </xf>
    <xf borderId="8" fillId="0" fontId="11" numFmtId="0" xfId="0" applyAlignment="1" applyBorder="1" applyFont="1">
      <alignment readingOrder="0" shrinkToFit="0" wrapText="1"/>
    </xf>
    <xf borderId="8" fillId="0" fontId="11" numFmtId="0" xfId="0" applyAlignment="1" applyBorder="1" applyFont="1">
      <alignment readingOrder="0" shrinkToFit="0" wrapText="1"/>
    </xf>
    <xf borderId="10" fillId="10" fontId="1" numFmtId="165" xfId="0" applyAlignment="1" applyBorder="1" applyFill="1" applyFont="1" applyNumberFormat="1">
      <alignment shrinkToFit="0" wrapText="1"/>
    </xf>
    <xf borderId="11" fillId="13" fontId="1" numFmtId="10" xfId="0" applyAlignment="1" applyBorder="1" applyFill="1" applyFont="1" applyNumberFormat="1">
      <alignment shrinkToFit="0" wrapText="1"/>
    </xf>
    <xf borderId="19" fillId="10" fontId="1" numFmtId="165" xfId="0" applyAlignment="1" applyBorder="1" applyFill="1" applyFont="1" applyNumberFormat="1">
      <alignment shrinkToFit="0" wrapText="1"/>
    </xf>
    <xf borderId="8" fillId="0" fontId="11" numFmtId="164" xfId="0" applyAlignment="1" applyBorder="1" applyFont="1" applyNumberFormat="1">
      <alignment readingOrder="0" shrinkToFit="0" wrapText="1"/>
    </xf>
    <xf borderId="11" fillId="10" fontId="1" numFmtId="165" xfId="0" applyAlignment="1" applyBorder="1" applyFill="1" applyFont="1" applyNumberFormat="1">
      <alignment shrinkToFit="0" wrapText="1"/>
    </xf>
    <xf borderId="18" fillId="13" fontId="1" numFmtId="10" xfId="0" applyAlignment="1" applyBorder="1" applyFill="1" applyFont="1" applyNumberFormat="1">
      <alignment readingOrder="0" shrinkToFit="0" wrapText="1"/>
    </xf>
    <xf borderId="0" fillId="7" fontId="28" numFmtId="0" xfId="0" applyAlignment="1" applyFill="1" applyFont="1">
      <alignment shrinkToFit="0" vertical="bottom" wrapText="1"/>
    </xf>
    <xf borderId="0" fillId="0" fontId="11" numFmtId="0" xfId="0" applyAlignment="1" applyFont="1">
      <alignment readingOrder="0" shrinkToFit="0" wrapText="1"/>
    </xf>
    <xf borderId="0" fillId="7" fontId="28" numFmtId="166" xfId="0" applyAlignment="1" applyFill="1" applyFont="1" applyNumberFormat="1">
      <alignment horizontal="right" shrinkToFit="0" vertical="bottom" wrapText="1"/>
    </xf>
    <xf borderId="0" fillId="7" fontId="28" numFmtId="0" xfId="0" applyAlignment="1" applyFill="1" applyFont="1">
      <alignment horizontal="right" shrinkToFit="0" vertical="bottom" wrapText="1"/>
    </xf>
    <xf borderId="0" fillId="7" fontId="27" numFmtId="0" xfId="0" applyAlignment="1" applyFill="1" applyFont="1">
      <alignment shrinkToFit="0" vertical="bottom" wrapText="1"/>
    </xf>
    <xf borderId="0" fillId="7" fontId="27" numFmtId="166" xfId="0" applyAlignment="1" applyFill="1" applyFont="1" applyNumberFormat="1">
      <alignment horizontal="right" shrinkToFit="0" vertical="bottom" wrapText="1"/>
    </xf>
    <xf borderId="0" fillId="0" fontId="27" numFmtId="166" xfId="0" applyAlignment="1" applyFont="1" applyNumberFormat="1">
      <alignment shrinkToFit="0" vertical="bottom" wrapText="1"/>
    </xf>
    <xf borderId="8" fillId="0" fontId="8" numFmtId="0" xfId="0" applyAlignment="1" applyBorder="1" applyFont="1">
      <alignment readingOrder="0" shrinkToFit="0" wrapText="1"/>
    </xf>
    <xf borderId="0" fillId="0" fontId="1" numFmtId="10" xfId="0" applyAlignment="1" applyFont="1" applyNumberFormat="1">
      <alignment horizontal="right" shrinkToFit="0" vertical="bottom" wrapText="1"/>
    </xf>
    <xf borderId="0" fillId="0" fontId="41" numFmtId="0" xfId="0" applyAlignment="1" applyFont="1">
      <alignment shrinkToFit="0" vertical="bottom" wrapText="1"/>
    </xf>
    <xf borderId="8" fillId="0" fontId="21" numFmtId="0" xfId="0" applyAlignment="1" applyBorder="1" applyFont="1">
      <alignment readingOrder="0" shrinkToFit="0" vertical="bottom" wrapText="1"/>
    </xf>
    <xf borderId="0" fillId="0" fontId="41" numFmtId="10" xfId="0" applyAlignment="1" applyFont="1" applyNumberFormat="1">
      <alignment horizontal="right" shrinkToFit="0" vertical="bottom" wrapText="1"/>
    </xf>
    <xf borderId="8" fillId="0" fontId="11" numFmtId="0" xfId="0" applyAlignment="1" applyBorder="1" applyFont="1">
      <alignment shrinkToFit="0" wrapText="1"/>
    </xf>
    <xf borderId="55" fillId="0" fontId="9" numFmtId="4" xfId="0" applyAlignment="1" applyBorder="1" applyFont="1" applyNumberFormat="1">
      <alignment shrinkToFit="0" wrapText="1"/>
    </xf>
    <xf borderId="8" fillId="0" fontId="11" numFmtId="10" xfId="0" applyAlignment="1" applyBorder="1" applyFont="1" applyNumberFormat="1">
      <alignment readingOrder="0" shrinkToFit="0" wrapText="1"/>
    </xf>
    <xf borderId="67" fillId="0" fontId="9" numFmtId="4" xfId="0" applyAlignment="1" applyBorder="1" applyFont="1" applyNumberFormat="1">
      <alignment shrinkToFit="0" wrapText="1"/>
    </xf>
    <xf borderId="48" fillId="0" fontId="9" numFmtId="4" xfId="0" applyAlignment="1" applyBorder="1" applyFont="1" applyNumberFormat="1">
      <alignment shrinkToFit="0" vertical="bottom" wrapText="1"/>
    </xf>
    <xf borderId="68" fillId="13" fontId="1" numFmtId="166" xfId="0" applyAlignment="1" applyBorder="1" applyFill="1" applyFont="1" applyNumberFormat="1">
      <alignment shrinkToFit="0" vertical="bottom" wrapText="1"/>
    </xf>
    <xf borderId="49" fillId="13" fontId="27" numFmtId="166" xfId="0" applyAlignment="1" applyBorder="1" applyFill="1" applyFont="1" applyNumberFormat="1">
      <alignment shrinkToFit="0" vertical="bottom" wrapText="1"/>
    </xf>
    <xf borderId="8" fillId="0" fontId="8" numFmtId="0" xfId="0" applyAlignment="1" applyBorder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7" fillId="13" fontId="8" numFmtId="166" xfId="0" applyAlignment="1" applyBorder="1" applyFill="1" applyFont="1" applyNumberFormat="1">
      <alignment readingOrder="0" shrinkToFit="0" wrapText="1"/>
    </xf>
    <xf borderId="7" fillId="13" fontId="1" numFmtId="10" xfId="0" applyAlignment="1" applyBorder="1" applyFill="1" applyFont="1" applyNumberFormat="1">
      <alignment readingOrder="0" shrinkToFit="0" wrapText="1"/>
    </xf>
    <xf borderId="76" fillId="20" fontId="46" numFmtId="0" xfId="0" applyAlignment="1" applyBorder="1" applyFill="1" applyFont="1">
      <alignment horizontal="center" shrinkToFit="0" vertical="center" wrapText="1"/>
    </xf>
    <xf borderId="77" fillId="0" fontId="2" numFmtId="0" xfId="0" applyAlignment="1" applyBorder="1" applyFont="1">
      <alignment shrinkToFit="0" wrapText="1"/>
    </xf>
    <xf borderId="78" fillId="0" fontId="2" numFmtId="0" xfId="0" applyAlignment="1" applyBorder="1" applyFont="1">
      <alignment shrinkToFit="0" wrapText="1"/>
    </xf>
    <xf borderId="79" fillId="0" fontId="47" numFmtId="0" xfId="0" applyAlignment="1" applyBorder="1" applyFont="1">
      <alignment shrinkToFit="0" vertical="bottom" wrapText="1"/>
    </xf>
    <xf borderId="80" fillId="0" fontId="47" numFmtId="167" xfId="0" applyAlignment="1" applyBorder="1" applyFont="1" applyNumberFormat="1">
      <alignment horizontal="center" readingOrder="0" shrinkToFit="0" vertical="bottom" wrapText="1"/>
    </xf>
    <xf borderId="81" fillId="0" fontId="2" numFmtId="0" xfId="0" applyAlignment="1" applyBorder="1" applyFont="1">
      <alignment shrinkToFit="0" wrapText="1"/>
    </xf>
    <xf borderId="82" fillId="0" fontId="47" numFmtId="0" xfId="0" applyAlignment="1" applyBorder="1" applyFont="1">
      <alignment shrinkToFit="0" vertical="bottom" wrapText="1"/>
    </xf>
    <xf borderId="83" fillId="0" fontId="47" numFmtId="0" xfId="0" applyAlignment="1" applyBorder="1" applyFont="1">
      <alignment horizontal="center" shrinkToFit="0" vertical="bottom" wrapText="1"/>
    </xf>
    <xf borderId="84" fillId="0" fontId="2" numFmtId="0" xfId="0" applyAlignment="1" applyBorder="1" applyFont="1">
      <alignment shrinkToFit="0" wrapText="1"/>
    </xf>
    <xf borderId="85" fillId="0" fontId="47" numFmtId="0" xfId="0" applyAlignment="1" applyBorder="1" applyFont="1">
      <alignment horizontal="left" shrinkToFit="0" vertical="bottom" wrapText="1"/>
    </xf>
    <xf borderId="86" fillId="0" fontId="2" numFmtId="0" xfId="0" applyAlignment="1" applyBorder="1" applyFont="1">
      <alignment shrinkToFit="0" wrapText="1"/>
    </xf>
    <xf borderId="87" fillId="0" fontId="2" numFmtId="0" xfId="0" applyAlignment="1" applyBorder="1" applyFont="1">
      <alignment shrinkToFit="0" wrapText="1"/>
    </xf>
    <xf borderId="88" fillId="21" fontId="47" numFmtId="0" xfId="0" applyAlignment="1" applyBorder="1" applyFill="1" applyFont="1">
      <alignment horizontal="center" readingOrder="0" shrinkToFit="0" vertical="center" wrapText="1"/>
    </xf>
    <xf borderId="89" fillId="0" fontId="2" numFmtId="0" xfId="0" applyAlignment="1" applyBorder="1" applyFont="1">
      <alignment shrinkToFit="0" wrapText="1"/>
    </xf>
    <xf borderId="90" fillId="0" fontId="2" numFmtId="0" xfId="0" applyAlignment="1" applyBorder="1" applyFont="1">
      <alignment shrinkToFit="0" wrapText="1"/>
    </xf>
    <xf borderId="91" fillId="0" fontId="47" numFmtId="0" xfId="0" applyAlignment="1" applyBorder="1" applyFont="1">
      <alignment shrinkToFit="0" vertical="bottom" wrapText="1"/>
    </xf>
    <xf borderId="92" fillId="0" fontId="47" numFmtId="0" xfId="0" applyAlignment="1" applyBorder="1" applyFont="1">
      <alignment horizontal="center" readingOrder="0" shrinkToFit="0" vertical="bottom" wrapText="1"/>
    </xf>
    <xf borderId="93" fillId="0" fontId="2" numFmtId="0" xfId="0" applyAlignment="1" applyBorder="1" applyFont="1">
      <alignment shrinkToFit="0" wrapText="1"/>
    </xf>
    <xf borderId="83" fillId="0" fontId="47" numFmtId="0" xfId="0" applyAlignment="1" applyBorder="1" applyFont="1">
      <alignment horizontal="center" readingOrder="0" shrinkToFit="0" vertical="bottom" wrapText="1"/>
    </xf>
    <xf borderId="82" fillId="0" fontId="47" numFmtId="0" xfId="0" applyAlignment="1" applyBorder="1" applyFont="1">
      <alignment readingOrder="0" shrinkToFit="0" vertical="bottom" wrapText="1"/>
    </xf>
    <xf borderId="85" fillId="0" fontId="47" numFmtId="0" xfId="0" applyAlignment="1" applyBorder="1" applyFont="1">
      <alignment horizontal="left" readingOrder="0" shrinkToFit="0" vertical="top" wrapText="1"/>
    </xf>
    <xf borderId="94" fillId="0" fontId="2" numFmtId="0" xfId="0" applyAlignment="1" applyBorder="1" applyFont="1">
      <alignment shrinkToFit="0" wrapText="1"/>
    </xf>
    <xf borderId="95" fillId="0" fontId="2" numFmtId="0" xfId="0" applyAlignment="1" applyBorder="1" applyFont="1">
      <alignment shrinkToFit="0" wrapText="1"/>
    </xf>
    <xf borderId="96" fillId="0" fontId="2" numFmtId="0" xfId="0" applyAlignment="1" applyBorder="1" applyFont="1">
      <alignment shrinkToFit="0" wrapText="1"/>
    </xf>
    <xf borderId="97" fillId="0" fontId="2" numFmtId="0" xfId="0" applyAlignment="1" applyBorder="1" applyFont="1">
      <alignment shrinkToFit="0" wrapText="1"/>
    </xf>
    <xf borderId="98" fillId="0" fontId="2" numFmtId="0" xfId="0" applyAlignment="1" applyBorder="1" applyFont="1">
      <alignment shrinkToFit="0" wrapText="1"/>
    </xf>
    <xf borderId="88" fillId="21" fontId="47" numFmtId="0" xfId="0" applyAlignment="1" applyBorder="1" applyFill="1" applyFont="1">
      <alignment horizontal="center" shrinkToFit="0" vertical="center" wrapText="1"/>
    </xf>
    <xf borderId="99" fillId="0" fontId="47" numFmtId="0" xfId="0" applyAlignment="1" applyBorder="1" applyFont="1">
      <alignment horizontal="left" shrinkToFit="0" vertical="bottom" wrapText="1"/>
    </xf>
    <xf borderId="100" fillId="0" fontId="47" numFmtId="168" xfId="0" applyAlignment="1" applyBorder="1" applyFont="1" applyNumberFormat="1">
      <alignment horizontal="center" readingOrder="0" shrinkToFit="0" vertical="bottom" wrapText="1"/>
    </xf>
    <xf borderId="101" fillId="0" fontId="47" numFmtId="0" xfId="0" applyAlignment="1" applyBorder="1" applyFont="1">
      <alignment horizontal="left" shrinkToFit="0" vertical="bottom" wrapText="1"/>
    </xf>
    <xf borderId="102" fillId="0" fontId="47" numFmtId="168" xfId="0" applyAlignment="1" applyBorder="1" applyFont="1" applyNumberFormat="1">
      <alignment horizontal="center" readingOrder="0" shrinkToFit="0" vertical="bottom" wrapText="1"/>
    </xf>
    <xf borderId="101" fillId="0" fontId="47" numFmtId="0" xfId="0" applyAlignment="1" applyBorder="1" applyFont="1">
      <alignment shrinkToFit="0" vertical="bottom" wrapText="1"/>
    </xf>
    <xf borderId="101" fillId="0" fontId="47" numFmtId="0" xfId="0" applyAlignment="1" applyBorder="1" applyFont="1">
      <alignment horizontal="left" readingOrder="0" shrinkToFit="0" vertical="bottom" wrapText="1"/>
    </xf>
    <xf borderId="102" fillId="0" fontId="47" numFmtId="1" xfId="0" applyAlignment="1" applyBorder="1" applyFont="1" applyNumberFormat="1">
      <alignment horizontal="center" readingOrder="0" shrinkToFit="0" vertical="bottom" wrapText="1"/>
    </xf>
    <xf borderId="103" fillId="22" fontId="46" numFmtId="0" xfId="0" applyAlignment="1" applyBorder="1" applyFill="1" applyFont="1">
      <alignment shrinkToFit="0" vertical="center" wrapText="1"/>
    </xf>
    <xf borderId="104" fillId="22" fontId="46" numFmtId="168" xfId="0" applyAlignment="1" applyBorder="1" applyFill="1" applyFont="1" applyNumberFormat="1">
      <alignment horizontal="center" shrinkToFit="0" vertical="bottom" wrapText="1"/>
    </xf>
    <xf borderId="105" fillId="0" fontId="47" numFmtId="49" xfId="0" applyAlignment="1" applyBorder="1" applyFont="1" applyNumberFormat="1">
      <alignment horizontal="left" shrinkToFit="0" vertical="bottom" wrapText="1"/>
    </xf>
    <xf borderId="106" fillId="0" fontId="2" numFmtId="0" xfId="0" applyAlignment="1" applyBorder="1" applyFont="1">
      <alignment shrinkToFit="0" wrapText="1"/>
    </xf>
    <xf borderId="107" fillId="0" fontId="2" numFmtId="0" xfId="0" applyAlignment="1" applyBorder="1" applyFont="1">
      <alignment shrinkToFit="0" wrapText="1"/>
    </xf>
    <xf borderId="99" fillId="0" fontId="47" numFmtId="0" xfId="0" applyAlignment="1" applyBorder="1" applyFont="1">
      <alignment shrinkToFit="0" vertical="bottom" wrapText="1"/>
    </xf>
    <xf borderId="108" fillId="0" fontId="47" numFmtId="10" xfId="0" applyAlignment="1" applyBorder="1" applyFont="1" applyNumberFormat="1">
      <alignment horizontal="center" readingOrder="0" shrinkToFit="0" vertical="bottom" wrapText="1"/>
    </xf>
    <xf borderId="109" fillId="0" fontId="47" numFmtId="168" xfId="0" applyAlignment="1" applyBorder="1" applyFont="1" applyNumberFormat="1">
      <alignment horizontal="center" readingOrder="0" shrinkToFit="0" vertical="bottom" wrapText="1"/>
    </xf>
    <xf borderId="110" fillId="0" fontId="47" numFmtId="1" xfId="0" applyAlignment="1" applyBorder="1" applyFont="1" applyNumberFormat="1">
      <alignment horizontal="center" readingOrder="0" shrinkToFit="0" vertical="bottom" wrapText="1"/>
    </xf>
    <xf borderId="111" fillId="0" fontId="47" numFmtId="168" xfId="0" applyAlignment="1" applyBorder="1" applyFont="1" applyNumberFormat="1">
      <alignment horizontal="center" shrinkToFit="0" vertical="bottom" wrapText="1"/>
    </xf>
    <xf borderId="110" fillId="0" fontId="47" numFmtId="10" xfId="0" applyAlignment="1" applyBorder="1" applyFont="1" applyNumberFormat="1">
      <alignment horizontal="center" readingOrder="0" shrinkToFit="0" vertical="bottom" wrapText="1"/>
    </xf>
    <xf borderId="110" fillId="0" fontId="47" numFmtId="0" xfId="0" applyAlignment="1" applyBorder="1" applyFont="1">
      <alignment horizontal="center" shrinkToFit="0" vertical="bottom" wrapText="1"/>
    </xf>
    <xf borderId="111" fillId="0" fontId="47" numFmtId="168" xfId="0" applyAlignment="1" applyBorder="1" applyFont="1" applyNumberFormat="1">
      <alignment horizontal="center" readingOrder="0" shrinkToFit="0" vertical="bottom" wrapText="1"/>
    </xf>
    <xf borderId="110" fillId="0" fontId="47" numFmtId="9" xfId="0" applyAlignment="1" applyBorder="1" applyFont="1" applyNumberFormat="1">
      <alignment horizontal="center" readingOrder="0" shrinkToFit="0" vertical="bottom" wrapText="1"/>
    </xf>
    <xf borderId="112" fillId="22" fontId="46" numFmtId="0" xfId="0" applyAlignment="1" applyBorder="1" applyFill="1" applyFont="1">
      <alignment shrinkToFit="0" vertical="center" wrapText="1"/>
    </xf>
    <xf borderId="111" fillId="22" fontId="46" numFmtId="168" xfId="0" applyAlignment="1" applyBorder="1" applyFill="1" applyFont="1" applyNumberFormat="1">
      <alignment horizontal="center" shrinkToFit="0" vertical="center" wrapText="1"/>
    </xf>
    <xf borderId="105" fillId="0" fontId="47" numFmtId="0" xfId="0" applyAlignment="1" applyBorder="1" applyFont="1">
      <alignment shrinkToFit="0" vertical="bottom" wrapText="1"/>
    </xf>
    <xf borderId="99" fillId="0" fontId="47" numFmtId="0" xfId="0" applyAlignment="1" applyBorder="1" applyFont="1">
      <alignment horizontal="left" shrinkToFit="0" vertical="center" wrapText="1"/>
    </xf>
    <xf borderId="108" fillId="0" fontId="47" numFmtId="0" xfId="0" applyAlignment="1" applyBorder="1" applyFont="1">
      <alignment horizontal="center" readingOrder="0" shrinkToFit="0" vertical="center" wrapText="1"/>
    </xf>
    <xf borderId="109" fillId="0" fontId="47" numFmtId="168" xfId="0" applyAlignment="1" applyBorder="1" applyFont="1" applyNumberFormat="1">
      <alignment horizontal="center" shrinkToFit="0" vertical="center" wrapText="1"/>
    </xf>
    <xf borderId="110" fillId="0" fontId="47" numFmtId="168" xfId="0" applyAlignment="1" applyBorder="1" applyFont="1" applyNumberFormat="1">
      <alignment horizontal="center" shrinkToFit="0" vertical="bottom" wrapText="1"/>
    </xf>
    <xf borderId="101" fillId="0" fontId="47" numFmtId="49" xfId="0" applyAlignment="1" applyBorder="1" applyFont="1" applyNumberFormat="1">
      <alignment horizontal="left" shrinkToFit="0" vertical="bottom" wrapText="1"/>
    </xf>
    <xf borderId="112" fillId="22" fontId="46" numFmtId="168" xfId="0" applyAlignment="1" applyBorder="1" applyFill="1" applyFont="1" applyNumberFormat="1">
      <alignment shrinkToFit="0" vertical="center" wrapText="1"/>
    </xf>
    <xf borderId="111" fillId="22" fontId="46" numFmtId="169" xfId="0" applyAlignment="1" applyBorder="1" applyFill="1" applyFont="1" applyNumberFormat="1">
      <alignment horizontal="center" shrinkToFit="0" vertical="center" wrapText="1"/>
    </xf>
    <xf borderId="105" fillId="0" fontId="47" numFmtId="0" xfId="0" applyAlignment="1" applyBorder="1" applyFont="1">
      <alignment horizontal="right" shrinkToFit="0" vertical="bottom" wrapText="1"/>
    </xf>
    <xf borderId="108" fillId="0" fontId="47" numFmtId="0" xfId="0" applyAlignment="1" applyBorder="1" applyFont="1">
      <alignment horizontal="center" shrinkToFit="0" vertical="center" wrapText="1"/>
    </xf>
    <xf borderId="110" fillId="0" fontId="47" numFmtId="10" xfId="0" applyAlignment="1" applyBorder="1" applyFont="1" applyNumberFormat="1">
      <alignment horizontal="center" shrinkToFit="0" vertical="bottom" wrapText="1"/>
    </xf>
    <xf borderId="111" fillId="12" fontId="47" numFmtId="168" xfId="0" applyAlignment="1" applyBorder="1" applyFill="1" applyFont="1" applyNumberFormat="1">
      <alignment horizontal="center" shrinkToFit="0" vertical="bottom" wrapText="1"/>
    </xf>
    <xf borderId="110" fillId="0" fontId="47" numFmtId="0" xfId="0" applyAlignment="1" applyBorder="1" applyFont="1">
      <alignment shrinkToFit="0" vertical="center" wrapText="1"/>
    </xf>
    <xf borderId="111" fillId="22" fontId="46" numFmtId="168" xfId="0" applyAlignment="1" applyBorder="1" applyFill="1" applyFont="1" applyNumberFormat="1">
      <alignment horizontal="center" shrinkToFit="0" vertical="bottom" wrapText="1"/>
    </xf>
    <xf borderId="109" fillId="0" fontId="47" numFmtId="168" xfId="0" applyAlignment="1" applyBorder="1" applyFont="1" applyNumberFormat="1">
      <alignment horizontal="center" shrinkToFit="0" vertical="bottom" wrapText="1"/>
    </xf>
    <xf borderId="111" fillId="12" fontId="47" numFmtId="168" xfId="0" applyAlignment="1" applyBorder="1" applyFill="1" applyFont="1" applyNumberFormat="1">
      <alignment horizontal="center" readingOrder="0" shrinkToFit="0" vertical="bottom" wrapText="1"/>
    </xf>
    <xf borderId="113" fillId="22" fontId="46" numFmtId="0" xfId="0" applyAlignment="1" applyBorder="1" applyFill="1" applyFont="1">
      <alignment shrinkToFit="0" vertical="center" wrapText="1"/>
    </xf>
    <xf borderId="114" fillId="22" fontId="46" numFmtId="0" xfId="0" applyAlignment="1" applyBorder="1" applyFill="1" applyFont="1">
      <alignment shrinkToFit="0" vertical="center" wrapText="1"/>
    </xf>
    <xf borderId="115" fillId="22" fontId="46" numFmtId="168" xfId="0" applyAlignment="1" applyBorder="1" applyFill="1" applyFont="1" applyNumberFormat="1">
      <alignment horizontal="center" shrinkToFit="0" vertical="bottom" wrapText="1"/>
    </xf>
    <xf borderId="116" fillId="0" fontId="47" numFmtId="0" xfId="0" applyAlignment="1" applyBorder="1" applyFont="1">
      <alignment shrinkToFit="0" vertical="bottom" wrapText="1"/>
    </xf>
    <xf borderId="116" fillId="0" fontId="2" numFmtId="0" xfId="0" applyAlignment="1" applyBorder="1" applyFont="1">
      <alignment shrinkToFit="0" wrapText="1"/>
    </xf>
    <xf borderId="0" fillId="0" fontId="48" numFmtId="0" xfId="0" applyAlignment="1" applyFont="1">
      <alignment horizontal="center" shrinkToFit="0" vertical="center" wrapText="1"/>
    </xf>
    <xf borderId="117" fillId="21" fontId="47" numFmtId="0" xfId="0" applyAlignment="1" applyBorder="1" applyFill="1" applyFont="1">
      <alignment horizontal="center" shrinkToFit="0" vertical="center" wrapText="1"/>
    </xf>
    <xf borderId="118" fillId="0" fontId="2" numFmtId="0" xfId="0" applyAlignment="1" applyBorder="1" applyFont="1">
      <alignment shrinkToFit="0" wrapText="1"/>
    </xf>
    <xf borderId="119" fillId="0" fontId="2" numFmtId="0" xfId="0" applyAlignment="1" applyBorder="1" applyFont="1">
      <alignment shrinkToFit="0" wrapText="1"/>
    </xf>
    <xf borderId="120" fillId="21" fontId="47" numFmtId="0" xfId="0" applyAlignment="1" applyBorder="1" applyFill="1" applyFont="1">
      <alignment horizontal="center" shrinkToFit="0" vertical="center" wrapText="1"/>
    </xf>
    <xf borderId="121" fillId="0" fontId="2" numFmtId="0" xfId="0" applyAlignment="1" applyBorder="1" applyFont="1">
      <alignment shrinkToFit="0" wrapText="1"/>
    </xf>
    <xf borderId="122" fillId="0" fontId="2" numFmtId="0" xfId="0" applyAlignment="1" applyBorder="1" applyFont="1">
      <alignment shrinkToFit="0" wrapText="1"/>
    </xf>
    <xf borderId="123" fillId="0" fontId="47" numFmtId="0" xfId="0" applyAlignment="1" applyBorder="1" applyFont="1">
      <alignment shrinkToFit="0" vertical="bottom" wrapText="1"/>
    </xf>
    <xf borderId="71" fillId="0" fontId="47" numFmtId="168" xfId="0" applyAlignment="1" applyBorder="1" applyFont="1" applyNumberFormat="1">
      <alignment horizontal="center" shrinkToFit="0" vertical="bottom" wrapText="1"/>
    </xf>
    <xf borderId="124" fillId="0" fontId="2" numFmtId="0" xfId="0" applyAlignment="1" applyBorder="1" applyFont="1">
      <alignment shrinkToFit="0" wrapText="1"/>
    </xf>
    <xf borderId="125" fillId="0" fontId="47" numFmtId="0" xfId="0" applyAlignment="1" applyBorder="1" applyFont="1">
      <alignment shrinkToFit="0" vertical="bottom" wrapText="1"/>
    </xf>
    <xf borderId="27" fillId="0" fontId="47" numFmtId="168" xfId="0" applyAlignment="1" applyBorder="1" applyFont="1" applyNumberFormat="1">
      <alignment horizontal="center" shrinkToFit="0" vertical="bottom" wrapText="1"/>
    </xf>
    <xf borderId="126" fillId="0" fontId="2" numFmtId="0" xfId="0" applyAlignment="1" applyBorder="1" applyFont="1">
      <alignment shrinkToFit="0" wrapText="1"/>
    </xf>
    <xf borderId="127" fillId="0" fontId="47" numFmtId="168" xfId="0" applyAlignment="1" applyBorder="1" applyFont="1" applyNumberFormat="1">
      <alignment horizontal="center" shrinkToFit="0" vertical="bottom" wrapText="1"/>
    </xf>
    <xf borderId="128" fillId="0" fontId="2" numFmtId="0" xfId="0" applyAlignment="1" applyBorder="1" applyFont="1">
      <alignment shrinkToFit="0" wrapText="1"/>
    </xf>
    <xf borderId="129" fillId="0" fontId="47" numFmtId="0" xfId="0" applyAlignment="1" applyBorder="1" applyFont="1">
      <alignment horizontal="center" shrinkToFit="0" vertical="bottom" wrapText="1"/>
    </xf>
    <xf borderId="130" fillId="0" fontId="2" numFmtId="0" xfId="0" applyAlignment="1" applyBorder="1" applyFont="1">
      <alignment shrinkToFit="0" wrapText="1"/>
    </xf>
    <xf borderId="131" fillId="23" fontId="46" numFmtId="0" xfId="0" applyAlignment="1" applyBorder="1" applyFill="1" applyFont="1">
      <alignment shrinkToFit="0" vertical="center" wrapText="1"/>
    </xf>
    <xf borderId="132" fillId="23" fontId="46" numFmtId="168" xfId="0" applyAlignment="1" applyBorder="1" applyFill="1" applyFont="1" applyNumberFormat="1">
      <alignment horizontal="center" shrinkToFit="0" vertical="center" wrapText="1"/>
    </xf>
    <xf borderId="133" fillId="0" fontId="2" numFmtId="0" xfId="0" applyAlignment="1" applyBorder="1" applyFont="1">
      <alignment shrinkToFit="0" wrapText="1"/>
    </xf>
    <xf borderId="117" fillId="21" fontId="47" numFmtId="0" xfId="0" applyAlignment="1" applyBorder="1" applyFill="1" applyFont="1">
      <alignment horizontal="center" readingOrder="0" shrinkToFit="0" vertical="center" wrapText="1"/>
    </xf>
    <xf borderId="134" fillId="0" fontId="49" numFmtId="0" xfId="0" applyAlignment="1" applyBorder="1" applyFont="1">
      <alignment horizontal="left" shrinkToFit="0" vertical="bottom" wrapText="1"/>
    </xf>
    <xf borderId="135" fillId="0" fontId="49" numFmtId="167" xfId="0" applyAlignment="1" applyBorder="1" applyFont="1" applyNumberFormat="1">
      <alignment horizontal="center" shrinkToFit="0" vertical="center" wrapText="1"/>
    </xf>
    <xf borderId="136" fillId="0" fontId="2" numFmtId="0" xfId="0" applyAlignment="1" applyBorder="1" applyFont="1">
      <alignment shrinkToFit="0" wrapText="1"/>
    </xf>
    <xf borderId="125" fillId="0" fontId="47" numFmtId="0" xfId="0" applyAlignment="1" applyBorder="1" applyFont="1">
      <alignment horizontal="left" shrinkToFit="0" vertical="bottom" wrapText="1"/>
    </xf>
    <xf borderId="27" fillId="0" fontId="47" numFmtId="164" xfId="0" applyAlignment="1" applyBorder="1" applyFont="1" applyNumberFormat="1">
      <alignment horizontal="center" shrinkToFit="0" vertical="center" wrapText="1"/>
    </xf>
    <xf borderId="27" fillId="0" fontId="47" numFmtId="168" xfId="0" applyAlignment="1" applyBorder="1" applyFont="1" applyNumberFormat="1">
      <alignment horizontal="center" shrinkToFit="0" vertical="center" wrapText="1"/>
    </xf>
    <xf borderId="137" fillId="0" fontId="47" numFmtId="0" xfId="0" applyAlignment="1" applyBorder="1" applyFont="1">
      <alignment horizontal="left" readingOrder="0" shrinkToFit="0" vertical="bottom" wrapText="1"/>
    </xf>
    <xf borderId="72" fillId="0" fontId="47" numFmtId="10" xfId="0" applyAlignment="1" applyBorder="1" applyFont="1" applyNumberFormat="1">
      <alignment horizontal="center" shrinkToFit="0" vertical="center" wrapText="1"/>
    </xf>
    <xf borderId="138" fillId="0" fontId="2" numFmtId="0" xfId="0" applyAlignment="1" applyBorder="1" applyFont="1">
      <alignment shrinkToFit="0" wrapText="1"/>
    </xf>
    <xf borderId="139" fillId="0" fontId="47" numFmtId="0" xfId="0" applyAlignment="1" applyBorder="1" applyFont="1">
      <alignment horizontal="left" shrinkToFit="0" vertical="bottom" wrapText="1"/>
    </xf>
    <xf borderId="140" fillId="0" fontId="2" numFmtId="0" xfId="0" applyAlignment="1" applyBorder="1" applyFont="1">
      <alignment shrinkToFit="0" wrapText="1"/>
    </xf>
    <xf borderId="141" fillId="0" fontId="2" numFmtId="0" xfId="0" applyAlignment="1" applyBorder="1" applyFont="1">
      <alignment shrinkToFit="0" wrapText="1"/>
    </xf>
    <xf borderId="142" fillId="23" fontId="46" numFmtId="0" xfId="0" applyAlignment="1" applyBorder="1" applyFill="1" applyFont="1">
      <alignment shrinkToFit="0" vertical="center" wrapText="1"/>
    </xf>
    <xf borderId="132" fillId="23" fontId="46" numFmtId="10" xfId="0" applyAlignment="1" applyBorder="1" applyFill="1" applyFont="1" applyNumberFormat="1">
      <alignment horizontal="center" shrinkToFit="0" vertical="center" wrapText="1"/>
    </xf>
    <xf borderId="76" fillId="20" fontId="50" numFmtId="0" xfId="0" applyAlignment="1" applyBorder="1" applyFill="1" applyFont="1">
      <alignment horizontal="center" shrinkToFit="0" vertical="center" wrapText="1"/>
    </xf>
    <xf borderId="0" fillId="0" fontId="26" numFmtId="0" xfId="0" applyAlignment="1" applyFont="1">
      <alignment shrinkToFit="0" vertical="bottom" wrapText="1"/>
    </xf>
    <xf borderId="79" fillId="0" fontId="26" numFmtId="0" xfId="0" applyAlignment="1" applyBorder="1" applyFont="1">
      <alignment shrinkToFit="0" vertical="bottom" wrapText="1"/>
    </xf>
    <xf borderId="80" fillId="0" fontId="26" numFmtId="167" xfId="0" applyAlignment="1" applyBorder="1" applyFont="1" applyNumberFormat="1">
      <alignment horizontal="center" readingOrder="0" shrinkToFit="0" vertical="bottom" wrapText="1"/>
    </xf>
    <xf borderId="82" fillId="0" fontId="26" numFmtId="0" xfId="0" applyAlignment="1" applyBorder="1" applyFont="1">
      <alignment shrinkToFit="0" vertical="bottom" wrapText="1"/>
    </xf>
    <xf borderId="83" fillId="0" fontId="26" numFmtId="0" xfId="0" applyAlignment="1" applyBorder="1" applyFont="1">
      <alignment horizontal="center" shrinkToFit="0" vertical="bottom" wrapText="1"/>
    </xf>
    <xf borderId="85" fillId="0" fontId="26" numFmtId="0" xfId="0" applyAlignment="1" applyBorder="1" applyFont="1">
      <alignment horizontal="left" shrinkToFit="0" vertical="bottom" wrapText="1"/>
    </xf>
    <xf borderId="88" fillId="21" fontId="25" numFmtId="0" xfId="0" applyAlignment="1" applyBorder="1" applyFill="1" applyFont="1">
      <alignment horizontal="center" readingOrder="0" shrinkToFit="0" vertical="center" wrapText="1"/>
    </xf>
    <xf borderId="91" fillId="0" fontId="26" numFmtId="0" xfId="0" applyAlignment="1" applyBorder="1" applyFont="1">
      <alignment shrinkToFit="0" vertical="bottom" wrapText="1"/>
    </xf>
    <xf borderId="92" fillId="0" fontId="26" numFmtId="0" xfId="0" applyAlignment="1" applyBorder="1" applyFont="1">
      <alignment horizontal="center" readingOrder="0" shrinkToFit="0" vertical="bottom" wrapText="1"/>
    </xf>
    <xf borderId="83" fillId="0" fontId="26" numFmtId="0" xfId="0" applyAlignment="1" applyBorder="1" applyFont="1">
      <alignment horizontal="center" readingOrder="0" shrinkToFit="0" vertical="bottom" wrapText="1"/>
    </xf>
    <xf borderId="0" fillId="0" fontId="26" numFmtId="0" xfId="0" applyAlignment="1" applyFont="1">
      <alignment readingOrder="0" shrinkToFit="0" vertical="bottom" wrapText="1"/>
    </xf>
    <xf borderId="82" fillId="0" fontId="26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51" numFmtId="0" xfId="0" applyAlignment="1" applyFont="1">
      <alignment readingOrder="0" shrinkToFit="0" wrapText="1"/>
    </xf>
    <xf borderId="85" fillId="0" fontId="26" numFmtId="0" xfId="0" applyAlignment="1" applyBorder="1" applyFont="1">
      <alignment horizontal="left" readingOrder="0" shrinkToFit="0" vertical="top" wrapText="1"/>
    </xf>
    <xf borderId="0" fillId="0" fontId="8" numFmtId="164" xfId="0" applyAlignment="1" applyFont="1" applyNumberFormat="1">
      <alignment horizontal="right" readingOrder="0" shrinkToFit="0" wrapText="1"/>
    </xf>
    <xf borderId="0" fillId="0" fontId="8" numFmtId="164" xfId="0" applyAlignment="1" applyFont="1" applyNumberFormat="1">
      <alignment shrinkToFit="0" wrapText="1"/>
    </xf>
    <xf borderId="26" fillId="20" fontId="52" numFmtId="0" xfId="0" applyAlignment="1" applyBorder="1" applyFill="1" applyFont="1">
      <alignment readingOrder="0" shrinkToFit="0" wrapText="1"/>
    </xf>
    <xf borderId="8" fillId="20" fontId="52" numFmtId="0" xfId="0" applyAlignment="1" applyBorder="1" applyFill="1" applyFont="1">
      <alignment readingOrder="0" shrinkToFit="0" wrapText="1"/>
    </xf>
    <xf borderId="1" fillId="0" fontId="11" numFmtId="0" xfId="0" applyAlignment="1" applyBorder="1" applyFont="1">
      <alignment readingOrder="0" shrinkToFit="0" wrapText="1"/>
    </xf>
    <xf borderId="55" fillId="5" fontId="1" numFmtId="0" xfId="0" applyAlignment="1" applyBorder="1" applyFill="1" applyFont="1">
      <alignment readingOrder="0" shrinkToFit="0" wrapText="1"/>
    </xf>
    <xf borderId="2" fillId="5" fontId="1" numFmtId="0" xfId="0" applyAlignment="1" applyBorder="1" applyFill="1" applyFont="1">
      <alignment readingOrder="0" shrinkToFit="0" wrapText="1"/>
    </xf>
    <xf borderId="72" fillId="0" fontId="11" numFmtId="0" xfId="0" applyAlignment="1" applyBorder="1" applyFont="1">
      <alignment readingOrder="0" shrinkToFit="0" wrapText="1"/>
    </xf>
    <xf borderId="1" fillId="0" fontId="11" numFmtId="164" xfId="0" applyAlignment="1" applyBorder="1" applyFont="1" applyNumberFormat="1">
      <alignment readingOrder="0" shrinkToFit="0" wrapText="1"/>
    </xf>
    <xf borderId="88" fillId="21" fontId="25" numFmtId="0" xfId="0" applyAlignment="1" applyBorder="1" applyFill="1" applyFont="1">
      <alignment horizontal="center" shrinkToFit="0" vertical="center" wrapText="1"/>
    </xf>
    <xf borderId="143" fillId="15" fontId="53" numFmtId="0" xfId="0" applyAlignment="1" applyBorder="1" applyFill="1" applyFont="1">
      <alignment horizontal="left" shrinkToFit="0" vertical="bottom" wrapText="1"/>
    </xf>
    <xf borderId="143" fillId="15" fontId="53" numFmtId="0" xfId="0" applyAlignment="1" applyBorder="1" applyFill="1" applyFont="1">
      <alignment horizontal="center" shrinkToFit="0" vertical="bottom" wrapText="1"/>
    </xf>
    <xf borderId="0" fillId="0" fontId="54" numFmtId="0" xfId="0" applyAlignment="1" applyFont="1">
      <alignment shrinkToFit="0" vertical="bottom" wrapText="1"/>
    </xf>
    <xf borderId="55" fillId="0" fontId="11" numFmtId="164" xfId="0" applyAlignment="1" applyBorder="1" applyFont="1" applyNumberFormat="1">
      <alignment shrinkToFit="0" wrapText="1"/>
    </xf>
    <xf borderId="0" fillId="0" fontId="55" numFmtId="0" xfId="0" applyAlignment="1" applyFont="1">
      <alignment shrinkToFit="0" vertical="bottom" wrapText="1"/>
    </xf>
    <xf borderId="99" fillId="0" fontId="56" numFmtId="0" xfId="0" applyAlignment="1" applyBorder="1" applyFont="1">
      <alignment horizontal="left" shrinkToFit="0" vertical="bottom" wrapText="1"/>
    </xf>
    <xf borderId="30" fillId="5" fontId="1" numFmtId="0" xfId="0" applyAlignment="1" applyBorder="1" applyFill="1" applyFont="1">
      <alignment readingOrder="0" shrinkToFit="0" wrapText="1"/>
    </xf>
    <xf borderId="29" fillId="0" fontId="11" numFmtId="164" xfId="0" applyAlignment="1" applyBorder="1" applyFont="1" applyNumberFormat="1">
      <alignment readingOrder="0" shrinkToFit="0" wrapText="1"/>
    </xf>
    <xf borderId="0" fillId="0" fontId="47" numFmtId="0" xfId="0" applyAlignment="1" applyFont="1">
      <alignment horizontal="left" shrinkToFit="0" vertical="bottom" wrapText="1"/>
    </xf>
    <xf borderId="55" fillId="0" fontId="11" numFmtId="0" xfId="0" applyAlignment="1" applyBorder="1" applyFont="1">
      <alignment shrinkToFit="0" wrapText="1"/>
    </xf>
    <xf borderId="0" fillId="0" fontId="57" numFmtId="0" xfId="0" applyAlignment="1" applyFont="1">
      <alignment horizontal="left" shrinkToFit="0" vertical="bottom" wrapText="1"/>
    </xf>
    <xf borderId="0" fillId="0" fontId="47" numFmtId="0" xfId="0" applyAlignment="1" applyFont="1">
      <alignment shrinkToFit="0" vertical="bottom" wrapText="1"/>
    </xf>
    <xf borderId="0" fillId="0" fontId="57" numFmtId="0" xfId="0" applyAlignment="1" applyFont="1">
      <alignment shrinkToFit="0" vertical="bottom" wrapText="1"/>
    </xf>
    <xf borderId="0" fillId="5" fontId="1" numFmtId="0" xfId="0" applyAlignment="1" applyFill="1" applyFont="1">
      <alignment readingOrder="0" shrinkToFit="0" wrapText="1"/>
    </xf>
    <xf borderId="100" fillId="0" fontId="56" numFmtId="168" xfId="0" applyAlignment="1" applyBorder="1" applyFont="1" applyNumberFormat="1">
      <alignment horizontal="center" readingOrder="0" shrinkToFit="0" vertical="bottom" wrapText="1"/>
    </xf>
    <xf borderId="29" fillId="0" fontId="11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71" fillId="0" fontId="2" numFmtId="0" xfId="0" applyAlignment="1" applyBorder="1" applyFont="1">
      <alignment shrinkToFit="0" wrapText="1"/>
    </xf>
    <xf borderId="24" fillId="5" fontId="8" numFmtId="0" xfId="0" applyAlignment="1" applyBorder="1" applyFill="1" applyFont="1">
      <alignment shrinkToFit="0" wrapText="1"/>
    </xf>
    <xf borderId="6" fillId="5" fontId="1" numFmtId="0" xfId="0" applyAlignment="1" applyBorder="1" applyFill="1" applyFont="1">
      <alignment readingOrder="0" shrinkToFit="0" wrapText="1"/>
    </xf>
    <xf borderId="101" fillId="0" fontId="56" numFmtId="0" xfId="0" applyAlignment="1" applyBorder="1" applyFont="1">
      <alignment horizontal="left" shrinkToFit="0" vertical="bottom" wrapText="1"/>
    </xf>
    <xf borderId="71" fillId="0" fontId="11" numFmtId="0" xfId="0" applyAlignment="1" applyBorder="1" applyFont="1">
      <alignment readingOrder="0" shrinkToFit="0" wrapText="1"/>
    </xf>
    <xf borderId="5" fillId="0" fontId="11" numFmtId="164" xfId="0" applyAlignment="1" applyBorder="1" applyFont="1" applyNumberFormat="1">
      <alignment readingOrder="0" shrinkToFit="0" wrapText="1"/>
    </xf>
    <xf borderId="24" fillId="0" fontId="11" numFmtId="0" xfId="0" applyAlignment="1" applyBorder="1" applyFont="1">
      <alignment shrinkToFit="0" wrapText="1"/>
    </xf>
    <xf borderId="102" fillId="0" fontId="56" numFmtId="168" xfId="0" applyAlignment="1" applyBorder="1" applyFont="1" applyNumberFormat="1">
      <alignment horizontal="center" readingOrder="0" shrinkToFit="0" vertical="bottom" wrapText="1"/>
    </xf>
    <xf borderId="1" fillId="12" fontId="11" numFmtId="0" xfId="0" applyAlignment="1" applyBorder="1" applyFill="1" applyFont="1">
      <alignment readingOrder="0" shrinkToFit="0" wrapText="1"/>
    </xf>
    <xf borderId="72" fillId="12" fontId="11" numFmtId="0" xfId="0" applyAlignment="1" applyBorder="1" applyFill="1" applyFont="1">
      <alignment readingOrder="0" shrinkToFit="0" wrapText="1"/>
    </xf>
    <xf borderId="1" fillId="12" fontId="11" numFmtId="164" xfId="0" applyAlignment="1" applyBorder="1" applyFill="1" applyFont="1" applyNumberFormat="1">
      <alignment readingOrder="0" shrinkToFit="0" wrapText="1"/>
    </xf>
    <xf borderId="55" fillId="12" fontId="11" numFmtId="164" xfId="0" applyAlignment="1" applyBorder="1" applyFill="1" applyFont="1" applyNumberFormat="1">
      <alignment shrinkToFit="0" wrapText="1"/>
    </xf>
    <xf borderId="55" fillId="5" fontId="8" numFmtId="0" xfId="0" applyAlignment="1" applyBorder="1" applyFill="1" applyFont="1">
      <alignment shrinkToFit="0" wrapText="1"/>
    </xf>
    <xf borderId="101" fillId="0" fontId="26" numFmtId="0" xfId="0" applyAlignment="1" applyBorder="1" applyFont="1">
      <alignment shrinkToFit="0" vertical="bottom" wrapText="1"/>
    </xf>
    <xf borderId="102" fillId="0" fontId="26" numFmtId="168" xfId="0" applyAlignment="1" applyBorder="1" applyFont="1" applyNumberFormat="1">
      <alignment horizontal="center" readingOrder="0" shrinkToFit="0" vertical="bottom" wrapText="1"/>
    </xf>
    <xf borderId="0" fillId="0" fontId="57" numFmtId="0" xfId="0" applyAlignment="1" applyFont="1">
      <alignment horizontal="left" readingOrder="0" shrinkToFit="0" vertical="bottom" wrapText="1"/>
    </xf>
    <xf borderId="26" fillId="12" fontId="11" numFmtId="0" xfId="0" applyAlignment="1" applyBorder="1" applyFill="1" applyFont="1">
      <alignment readingOrder="0" shrinkToFit="0" wrapText="1"/>
    </xf>
    <xf borderId="24" fillId="5" fontId="1" numFmtId="0" xfId="0" applyAlignment="1" applyBorder="1" applyFill="1" applyFont="1">
      <alignment readingOrder="0" shrinkToFit="0" wrapText="1"/>
    </xf>
    <xf borderId="28" fillId="5" fontId="1" numFmtId="0" xfId="0" applyAlignment="1" applyBorder="1" applyFill="1" applyFont="1">
      <alignment readingOrder="0" shrinkToFit="0" wrapText="1"/>
    </xf>
    <xf borderId="101" fillId="0" fontId="56" numFmtId="0" xfId="0" applyAlignment="1" applyBorder="1" applyFont="1">
      <alignment horizontal="left" readingOrder="0" shrinkToFit="0" vertical="bottom" wrapText="1"/>
    </xf>
    <xf borderId="27" fillId="12" fontId="11" numFmtId="0" xfId="0" applyAlignment="1" applyBorder="1" applyFill="1" applyFont="1">
      <alignment readingOrder="0" shrinkToFit="0" wrapText="1"/>
    </xf>
    <xf borderId="26" fillId="12" fontId="11" numFmtId="164" xfId="0" applyAlignment="1" applyBorder="1" applyFill="1" applyFont="1" applyNumberFormat="1">
      <alignment readingOrder="0" shrinkToFit="0" wrapText="1"/>
    </xf>
    <xf borderId="102" fillId="0" fontId="56" numFmtId="1" xfId="0" applyAlignment="1" applyBorder="1" applyFont="1" applyNumberFormat="1">
      <alignment horizontal="center" readingOrder="0" shrinkToFit="0" vertical="bottom" wrapText="1"/>
    </xf>
    <xf borderId="8" fillId="12" fontId="11" numFmtId="164" xfId="0" applyAlignment="1" applyBorder="1" applyFill="1" applyFont="1" applyNumberFormat="1">
      <alignment shrinkToFit="0" wrapText="1"/>
    </xf>
    <xf borderId="1" fillId="0" fontId="9" numFmtId="164" xfId="0" applyAlignment="1" applyBorder="1" applyFont="1" applyNumberFormat="1">
      <alignment readingOrder="0" shrinkToFit="0" wrapText="1"/>
    </xf>
    <xf borderId="60" fillId="0" fontId="11" numFmtId="164" xfId="0" applyAlignment="1" applyBorder="1" applyFont="1" applyNumberFormat="1">
      <alignment shrinkToFit="0" wrapText="1"/>
    </xf>
    <xf borderId="29" fillId="12" fontId="11" numFmtId="0" xfId="0" applyAlignment="1" applyBorder="1" applyFill="1" applyFont="1">
      <alignment shrinkToFit="0" wrapText="1"/>
    </xf>
    <xf borderId="55" fillId="5" fontId="8" numFmtId="0" xfId="0" applyAlignment="1" applyBorder="1" applyFill="1" applyFont="1">
      <alignment readingOrder="0" shrinkToFit="0" wrapText="1"/>
    </xf>
    <xf borderId="0" fillId="12" fontId="9" numFmtId="0" xfId="0" applyAlignment="1" applyFill="1" applyFont="1">
      <alignment readingOrder="0" shrinkToFit="0" wrapText="1"/>
    </xf>
    <xf borderId="29" fillId="12" fontId="11" numFmtId="164" xfId="0" applyAlignment="1" applyBorder="1" applyFill="1" applyFont="1" applyNumberFormat="1">
      <alignment readingOrder="0" shrinkToFit="0" wrapText="1"/>
    </xf>
    <xf borderId="103" fillId="22" fontId="34" numFmtId="0" xfId="0" applyAlignment="1" applyBorder="1" applyFill="1" applyFont="1">
      <alignment shrinkToFit="0" vertical="center" wrapText="1"/>
    </xf>
    <xf borderId="55" fillId="12" fontId="11" numFmtId="0" xfId="0" applyAlignment="1" applyBorder="1" applyFill="1" applyFont="1">
      <alignment shrinkToFit="0" wrapText="1"/>
    </xf>
    <xf borderId="5" fillId="12" fontId="11" numFmtId="0" xfId="0" applyAlignment="1" applyBorder="1" applyFill="1" applyFont="1">
      <alignment shrinkToFit="0" wrapText="1"/>
    </xf>
    <xf borderId="71" fillId="12" fontId="11" numFmtId="0" xfId="0" applyAlignment="1" applyBorder="1" applyFill="1" applyFont="1">
      <alignment readingOrder="0" shrinkToFit="0" wrapText="1"/>
    </xf>
    <xf borderId="5" fillId="12" fontId="11" numFmtId="164" xfId="0" applyAlignment="1" applyBorder="1" applyFill="1" applyFont="1" applyNumberFormat="1">
      <alignment readingOrder="0" shrinkToFit="0" wrapText="1"/>
    </xf>
    <xf borderId="104" fillId="22" fontId="34" numFmtId="168" xfId="0" applyAlignment="1" applyBorder="1" applyFill="1" applyFont="1" applyNumberFormat="1">
      <alignment horizontal="center" shrinkToFit="0" vertical="bottom" wrapText="1"/>
    </xf>
    <xf borderId="60" fillId="12" fontId="11" numFmtId="0" xfId="0" applyAlignment="1" applyBorder="1" applyFill="1" applyFont="1">
      <alignment shrinkToFit="0" wrapText="1"/>
    </xf>
    <xf borderId="0" fillId="12" fontId="11" numFmtId="0" xfId="0" applyAlignment="1" applyFill="1" applyFont="1">
      <alignment readingOrder="0" shrinkToFit="0" wrapText="1"/>
    </xf>
    <xf borderId="24" fillId="5" fontId="8" numFmtId="0" xfId="0" applyAlignment="1" applyBorder="1" applyFill="1" applyFont="1">
      <alignment readingOrder="0" shrinkToFit="0" wrapText="1"/>
    </xf>
    <xf borderId="105" fillId="0" fontId="56" numFmtId="49" xfId="0" applyAlignment="1" applyBorder="1" applyFont="1" applyNumberFormat="1">
      <alignment horizontal="left" shrinkToFit="0" vertical="bottom" wrapText="1"/>
    </xf>
    <xf borderId="0" fillId="0" fontId="47" numFmtId="0" xfId="0" applyAlignment="1" applyFont="1">
      <alignment readingOrder="0" shrinkToFit="0" vertical="bottom" wrapText="1"/>
    </xf>
    <xf borderId="8" fillId="12" fontId="11" numFmtId="0" xfId="0" applyAlignment="1" applyBorder="1" applyFill="1" applyFont="1">
      <alignment shrinkToFit="0" wrapText="1"/>
    </xf>
    <xf borderId="2" fillId="5" fontId="8" numFmtId="0" xfId="0" applyAlignment="1" applyBorder="1" applyFill="1" applyFont="1">
      <alignment shrinkToFit="0" wrapText="1"/>
    </xf>
    <xf borderId="99" fillId="0" fontId="56" numFmtId="0" xfId="0" applyAlignment="1" applyBorder="1" applyFont="1">
      <alignment shrinkToFit="0" vertical="bottom" wrapText="1"/>
    </xf>
    <xf borderId="108" fillId="0" fontId="56" numFmtId="10" xfId="0" applyAlignment="1" applyBorder="1" applyFont="1" applyNumberFormat="1">
      <alignment horizontal="center" readingOrder="0" shrinkToFit="0" vertical="bottom" wrapText="1"/>
    </xf>
    <xf borderId="60" fillId="0" fontId="11" numFmtId="0" xfId="0" applyAlignment="1" applyBorder="1" applyFont="1">
      <alignment shrinkToFit="0" wrapText="1"/>
    </xf>
    <xf borderId="109" fillId="0" fontId="56" numFmtId="168" xfId="0" applyAlignment="1" applyBorder="1" applyFont="1" applyNumberFormat="1">
      <alignment horizontal="center" readingOrder="0" shrinkToFit="0" vertical="bottom" wrapText="1"/>
    </xf>
    <xf borderId="101" fillId="0" fontId="56" numFmtId="0" xfId="0" applyAlignment="1" applyBorder="1" applyFont="1">
      <alignment shrinkToFit="0" vertical="bottom" wrapText="1"/>
    </xf>
    <xf borderId="110" fillId="0" fontId="56" numFmtId="1" xfId="0" applyAlignment="1" applyBorder="1" applyFont="1" applyNumberFormat="1">
      <alignment horizontal="center" readingOrder="0" shrinkToFit="0" vertical="bottom" wrapText="1"/>
    </xf>
    <xf borderId="111" fillId="0" fontId="56" numFmtId="168" xfId="0" applyAlignment="1" applyBorder="1" applyFont="1" applyNumberFormat="1">
      <alignment horizontal="center" shrinkToFit="0" vertical="bottom" wrapText="1"/>
    </xf>
    <xf borderId="0" fillId="7" fontId="28" numFmtId="0" xfId="0" applyAlignment="1" applyFill="1" applyFont="1">
      <alignment horizontal="left" readingOrder="0" shrinkToFit="0" wrapText="1"/>
    </xf>
    <xf borderId="110" fillId="0" fontId="56" numFmtId="10" xfId="0" applyAlignment="1" applyBorder="1" applyFont="1" applyNumberFormat="1">
      <alignment horizontal="center" readingOrder="0" shrinkToFit="0" vertical="bottom" wrapText="1"/>
    </xf>
    <xf borderId="29" fillId="0" fontId="11" numFmtId="164" xfId="0" applyAlignment="1" applyBorder="1" applyFont="1" applyNumberFormat="1">
      <alignment shrinkToFit="0" wrapText="1"/>
    </xf>
    <xf borderId="5" fillId="0" fontId="11" numFmtId="0" xfId="0" applyAlignment="1" applyBorder="1" applyFont="1">
      <alignment readingOrder="0" shrinkToFit="0" wrapText="1"/>
    </xf>
    <xf borderId="71" fillId="5" fontId="1" numFmtId="0" xfId="0" applyAlignment="1" applyBorder="1" applyFill="1" applyFont="1">
      <alignment readingOrder="0" shrinkToFit="0" wrapText="1"/>
    </xf>
    <xf borderId="110" fillId="0" fontId="56" numFmtId="0" xfId="0" applyAlignment="1" applyBorder="1" applyFont="1">
      <alignment horizontal="center" shrinkToFit="0" vertical="bottom" wrapText="1"/>
    </xf>
    <xf borderId="5" fillId="7" fontId="28" numFmtId="0" xfId="0" applyAlignment="1" applyBorder="1" applyFill="1" applyFont="1">
      <alignment horizontal="left" readingOrder="0" shrinkToFit="0" wrapText="1"/>
    </xf>
    <xf borderId="5" fillId="0" fontId="11" numFmtId="164" xfId="0" applyAlignment="1" applyBorder="1" applyFont="1" applyNumberFormat="1">
      <alignment shrinkToFit="0" wrapText="1"/>
    </xf>
    <xf borderId="0" fillId="0" fontId="58" numFmtId="0" xfId="0" applyAlignment="1" applyFont="1">
      <alignment horizontal="right" shrinkToFit="0" vertical="bottom" wrapText="1"/>
    </xf>
    <xf borderId="72" fillId="5" fontId="1" numFmtId="0" xfId="0" applyAlignment="1" applyBorder="1" applyFill="1" applyFont="1">
      <alignment readingOrder="0" shrinkToFit="0" wrapText="1"/>
    </xf>
    <xf borderId="71" fillId="0" fontId="55" numFmtId="0" xfId="0" applyAlignment="1" applyBorder="1" applyFont="1">
      <alignment horizontal="center" shrinkToFit="0" vertical="center" wrapText="1"/>
    </xf>
    <xf borderId="111" fillId="0" fontId="56" numFmtId="168" xfId="0" applyAlignment="1" applyBorder="1" applyFont="1" applyNumberFormat="1">
      <alignment horizontal="center" readingOrder="0" shrinkToFit="0" vertical="bottom" wrapText="1"/>
    </xf>
    <xf borderId="1" fillId="0" fontId="59" numFmtId="0" xfId="0" applyAlignment="1" applyBorder="1" applyFont="1">
      <alignment horizontal="left" shrinkToFit="0" vertical="top" wrapText="1"/>
    </xf>
    <xf borderId="0" fillId="0" fontId="60" numFmtId="0" xfId="0" applyAlignment="1" applyFont="1">
      <alignment horizontal="left" shrinkToFit="0" vertical="top" wrapText="1"/>
    </xf>
    <xf borderId="29" fillId="12" fontId="11" numFmtId="0" xfId="0" applyAlignment="1" applyBorder="1" applyFill="1" applyFont="1">
      <alignment readingOrder="0" shrinkToFit="0" wrapText="1"/>
    </xf>
    <xf borderId="26" fillId="8" fontId="59" numFmtId="0" xfId="0" applyAlignment="1" applyBorder="1" applyFill="1" applyFont="1">
      <alignment horizontal="left" shrinkToFit="0" vertical="top" wrapText="1"/>
    </xf>
    <xf borderId="5" fillId="12" fontId="11" numFmtId="0" xfId="0" applyAlignment="1" applyBorder="1" applyFill="1" applyFont="1">
      <alignment readingOrder="0" shrinkToFit="0" wrapText="1"/>
    </xf>
    <xf borderId="8" fillId="8" fontId="59" numFmtId="0" xfId="0" applyAlignment="1" applyBorder="1" applyFill="1" applyFont="1">
      <alignment horizontal="left" shrinkToFit="0" vertical="top" wrapText="1"/>
    </xf>
    <xf borderId="1" fillId="12" fontId="9" numFmtId="0" xfId="0" applyAlignment="1" applyBorder="1" applyFill="1" applyFont="1">
      <alignment readingOrder="0" shrinkToFit="0" wrapText="1"/>
    </xf>
    <xf borderId="144" fillId="8" fontId="59" numFmtId="0" xfId="0" applyAlignment="1" applyBorder="1" applyFill="1" applyFont="1">
      <alignment horizontal="center" shrinkToFit="0" vertical="center" wrapText="1"/>
    </xf>
    <xf borderId="143" fillId="8" fontId="60" numFmtId="0" xfId="0" applyAlignment="1" applyBorder="1" applyFill="1" applyFont="1">
      <alignment horizontal="left" shrinkToFit="0" vertical="top" wrapText="1"/>
    </xf>
    <xf borderId="0" fillId="0" fontId="61" numFmtId="0" xfId="0" applyAlignment="1" applyFont="1">
      <alignment horizontal="left" shrinkToFit="0" vertical="bottom" wrapText="1"/>
    </xf>
    <xf borderId="143" fillId="8" fontId="62" numFmtId="0" xfId="0" applyAlignment="1" applyBorder="1" applyFill="1" applyFont="1">
      <alignment horizontal="left" shrinkToFit="0" vertical="top" wrapText="1"/>
    </xf>
    <xf borderId="1" fillId="0" fontId="9" numFmtId="0" xfId="0" applyAlignment="1" applyBorder="1" applyFont="1">
      <alignment readingOrder="0" shrinkToFit="0" wrapText="1"/>
    </xf>
    <xf borderId="26" fillId="0" fontId="63" numFmtId="0" xfId="0" applyAlignment="1" applyBorder="1" applyFont="1">
      <alignment horizontal="left" shrinkToFit="0" vertical="top" wrapText="1"/>
    </xf>
    <xf borderId="110" fillId="0" fontId="56" numFmtId="9" xfId="0" applyAlignment="1" applyBorder="1" applyFont="1" applyNumberFormat="1">
      <alignment horizontal="center" readingOrder="0" shrinkToFit="0" vertical="bottom" wrapText="1"/>
    </xf>
    <xf borderId="8" fillId="0" fontId="64" numFmtId="0" xfId="0" applyAlignment="1" applyBorder="1" applyFont="1">
      <alignment horizontal="left" shrinkToFit="0" vertical="bottom" wrapText="1"/>
    </xf>
    <xf borderId="0" fillId="0" fontId="55" numFmtId="0" xfId="0" applyAlignment="1" applyFont="1">
      <alignment horizontal="left" shrinkToFit="0" vertical="bottom" wrapText="1"/>
    </xf>
    <xf borderId="26" fillId="0" fontId="63" numFmtId="0" xfId="0" applyAlignment="1" applyBorder="1" applyFont="1">
      <alignment horizontal="center" shrinkToFit="0" vertical="center" wrapText="1"/>
    </xf>
    <xf borderId="0" fillId="0" fontId="61" numFmtId="0" xfId="0" applyAlignment="1" applyFont="1">
      <alignment shrinkToFit="0" vertical="bottom" wrapText="1"/>
    </xf>
    <xf borderId="8" fillId="0" fontId="64" numFmtId="166" xfId="0" applyAlignment="1" applyBorder="1" applyFont="1" applyNumberFormat="1">
      <alignment horizontal="left" shrinkToFit="0" vertical="bottom" wrapText="1"/>
    </xf>
    <xf borderId="0" fillId="0" fontId="64" numFmtId="0" xfId="0" applyAlignment="1" applyFont="1">
      <alignment horizontal="left" shrinkToFit="0" vertical="top" wrapText="1"/>
    </xf>
    <xf borderId="0" fillId="12" fontId="11" numFmtId="0" xfId="0" applyAlignment="1" applyFill="1" applyFont="1">
      <alignment shrinkToFit="0" wrapText="1"/>
    </xf>
    <xf borderId="8" fillId="0" fontId="63" numFmtId="0" xfId="0" applyAlignment="1" applyBorder="1" applyFont="1">
      <alignment horizontal="center" shrinkToFit="0" vertical="center" wrapText="1"/>
    </xf>
    <xf borderId="71" fillId="0" fontId="11" numFmtId="0" xfId="0" applyAlignment="1" applyBorder="1" applyFont="1">
      <alignment shrinkToFit="0" wrapText="1"/>
    </xf>
    <xf borderId="72" fillId="0" fontId="11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72" fillId="0" fontId="8" numFmtId="0" xfId="0" applyAlignment="1" applyBorder="1" applyFont="1">
      <alignment shrinkToFit="0" wrapText="1"/>
    </xf>
    <xf borderId="72" fillId="0" fontId="11" numFmtId="164" xfId="0" applyAlignment="1" applyBorder="1" applyFont="1" applyNumberFormat="1">
      <alignment shrinkToFit="0" wrapText="1"/>
    </xf>
    <xf borderId="8" fillId="0" fontId="63" numFmtId="170" xfId="0" applyAlignment="1" applyBorder="1" applyFont="1" applyNumberFormat="1">
      <alignment horizontal="center" shrinkToFit="0" vertical="center" wrapText="1"/>
    </xf>
    <xf borderId="112" fillId="22" fontId="34" numFmtId="0" xfId="0" applyAlignment="1" applyBorder="1" applyFill="1" applyFont="1">
      <alignment shrinkToFit="0" vertical="center" wrapText="1"/>
    </xf>
    <xf borderId="0" fillId="15" fontId="11" numFmtId="0" xfId="0" applyAlignment="1" applyFill="1" applyFont="1">
      <alignment readingOrder="0" shrinkToFit="0" wrapText="1"/>
    </xf>
    <xf borderId="111" fillId="22" fontId="34" numFmtId="168" xfId="0" applyAlignment="1" applyBorder="1" applyFill="1" applyFont="1" applyNumberFormat="1">
      <alignment horizontal="center" shrinkToFit="0" vertical="center" wrapText="1"/>
    </xf>
    <xf borderId="0" fillId="12" fontId="8" numFmtId="0" xfId="0" applyAlignment="1" applyFill="1" applyFont="1">
      <alignment readingOrder="0" shrinkToFit="0" wrapText="1"/>
    </xf>
    <xf borderId="8" fillId="0" fontId="64" numFmtId="0" xfId="0" applyAlignment="1" applyBorder="1" applyFont="1">
      <alignment horizontal="left" shrinkToFit="0" vertical="center" wrapText="1"/>
    </xf>
    <xf borderId="8" fillId="0" fontId="64" numFmtId="166" xfId="0" applyAlignment="1" applyBorder="1" applyFont="1" applyNumberFormat="1">
      <alignment horizontal="left" shrinkToFit="0" vertical="center" wrapText="1"/>
    </xf>
    <xf borderId="0" fillId="12" fontId="11" numFmtId="168" xfId="0" applyAlignment="1" applyFill="1" applyFont="1" applyNumberFormat="1">
      <alignment shrinkToFit="0" wrapText="1"/>
    </xf>
    <xf borderId="105" fillId="0" fontId="26" numFmtId="0" xfId="0" applyAlignment="1" applyBorder="1" applyFont="1">
      <alignment shrinkToFit="0" vertical="bottom" wrapText="1"/>
    </xf>
    <xf borderId="0" fillId="12" fontId="8" numFmtId="0" xfId="0" applyAlignment="1" applyFill="1" applyFont="1">
      <alignment readingOrder="0" shrinkToFit="0" wrapText="1"/>
    </xf>
    <xf borderId="26" fillId="0" fontId="63" numFmtId="0" xfId="0" applyAlignment="1" applyBorder="1" applyFont="1">
      <alignment shrinkToFit="0" vertical="top" wrapText="1"/>
    </xf>
    <xf borderId="8" fillId="0" fontId="33" numFmtId="168" xfId="0" applyAlignment="1" applyBorder="1" applyFont="1" applyNumberFormat="1">
      <alignment readingOrder="0" shrinkToFit="0" wrapText="1"/>
    </xf>
    <xf borderId="99" fillId="0" fontId="25" numFmtId="0" xfId="0" applyAlignment="1" applyBorder="1" applyFont="1">
      <alignment horizontal="left" shrinkToFit="0" vertical="center" wrapText="1"/>
    </xf>
    <xf borderId="108" fillId="0" fontId="26" numFmtId="0" xfId="0" applyAlignment="1" applyBorder="1" applyFont="1">
      <alignment horizontal="center" readingOrder="0" shrinkToFit="0" vertical="center" wrapText="1"/>
    </xf>
    <xf borderId="0" fillId="12" fontId="11" numFmtId="10" xfId="0" applyAlignment="1" applyFill="1" applyFont="1" applyNumberFormat="1">
      <alignment shrinkToFit="0" wrapText="1"/>
    </xf>
    <xf borderId="109" fillId="0" fontId="26" numFmtId="168" xfId="0" applyAlignment="1" applyBorder="1" applyFont="1" applyNumberFormat="1">
      <alignment horizontal="center" shrinkToFit="0" vertical="center" wrapText="1"/>
    </xf>
    <xf borderId="8" fillId="0" fontId="33" numFmtId="0" xfId="0" applyAlignment="1" applyBorder="1" applyFont="1">
      <alignment readingOrder="0" shrinkToFit="0" wrapText="1"/>
    </xf>
    <xf borderId="0" fillId="12" fontId="11" numFmtId="0" xfId="0" applyAlignment="1" applyFill="1" applyFont="1">
      <alignment horizontal="left" readingOrder="0" shrinkToFit="0" wrapText="1"/>
    </xf>
    <xf borderId="26" fillId="0" fontId="6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wrapText="1"/>
    </xf>
    <xf borderId="110" fillId="0" fontId="56" numFmtId="168" xfId="0" applyAlignment="1" applyBorder="1" applyFont="1" applyNumberFormat="1">
      <alignment horizontal="center" shrinkToFit="0" vertical="bottom" wrapText="1"/>
    </xf>
    <xf borderId="0" fillId="12" fontId="11" numFmtId="164" xfId="0" applyAlignment="1" applyFill="1" applyFont="1" applyNumberFormat="1">
      <alignment shrinkToFit="0" wrapText="1"/>
    </xf>
    <xf borderId="26" fillId="0" fontId="64" numFmtId="0" xfId="0" applyAlignment="1" applyBorder="1" applyFont="1">
      <alignment horizontal="left" shrinkToFit="0" vertical="bottom" wrapText="1"/>
    </xf>
    <xf borderId="111" fillId="0" fontId="26" numFmtId="168" xfId="0" applyAlignment="1" applyBorder="1" applyFont="1" applyNumberFormat="1">
      <alignment horizontal="center" shrinkToFit="0" vertical="bottom" wrapText="1"/>
    </xf>
    <xf borderId="8" fillId="0" fontId="11" numFmtId="164" xfId="0" applyAlignment="1" applyBorder="1" applyFont="1" applyNumberFormat="1">
      <alignment shrinkToFit="0" wrapText="1"/>
    </xf>
    <xf borderId="72" fillId="0" fontId="63" numFmtId="0" xfId="0" applyAlignment="1" applyBorder="1" applyFont="1">
      <alignment horizontal="left" shrinkToFit="0" vertical="top" wrapText="1"/>
    </xf>
    <xf borderId="8" fillId="0" fontId="63" numFmtId="0" xfId="0" applyAlignment="1" applyBorder="1" applyFont="1">
      <alignment horizontal="left" shrinkToFit="0" vertical="top" wrapText="1"/>
    </xf>
    <xf borderId="0" fillId="12" fontId="11" numFmtId="168" xfId="0" applyAlignment="1" applyFill="1" applyFont="1" applyNumberFormat="1">
      <alignment readingOrder="0" shrinkToFit="0" wrapText="1"/>
    </xf>
    <xf borderId="0" fillId="0" fontId="11" numFmtId="164" xfId="0" applyAlignment="1" applyFont="1" applyNumberFormat="1">
      <alignment shrinkToFit="0" wrapText="1"/>
    </xf>
    <xf borderId="0" fillId="0" fontId="11" numFmtId="0" xfId="0" applyAlignment="1" applyFont="1">
      <alignment horizontal="right" readingOrder="0" shrinkToFit="0" wrapText="1"/>
    </xf>
    <xf borderId="101" fillId="0" fontId="56" numFmtId="49" xfId="0" applyAlignment="1" applyBorder="1" applyFont="1" applyNumberFormat="1">
      <alignment horizontal="left" shrinkToFit="0" vertical="bottom" wrapText="1"/>
    </xf>
    <xf borderId="26" fillId="0" fontId="63" numFmtId="0" xfId="0" applyAlignment="1" applyBorder="1" applyFont="1">
      <alignment horizontal="left" readingOrder="0" shrinkToFit="0" vertical="top" wrapText="1"/>
    </xf>
    <xf borderId="0" fillId="5" fontId="11" numFmtId="168" xfId="0" applyAlignment="1" applyFill="1" applyFont="1" applyNumberFormat="1">
      <alignment readingOrder="0" shrinkToFit="0" wrapText="1"/>
    </xf>
    <xf borderId="0" fillId="0" fontId="63" numFmtId="0" xfId="0" applyAlignment="1" applyFont="1">
      <alignment horizontal="left" shrinkToFit="0" vertical="top" wrapText="1"/>
    </xf>
    <xf borderId="145" fillId="6" fontId="65" numFmtId="0" xfId="0" applyAlignment="1" applyBorder="1" applyFill="1" applyFont="1">
      <alignment horizontal="left" shrinkToFit="0" vertical="top" wrapText="1"/>
    </xf>
    <xf borderId="146" fillId="0" fontId="2" numFmtId="0" xfId="0" applyAlignment="1" applyBorder="1" applyFont="1">
      <alignment shrinkToFit="0" wrapText="1"/>
    </xf>
    <xf borderId="26" fillId="0" fontId="8" numFmtId="0" xfId="0" applyAlignment="1" applyBorder="1" applyFont="1">
      <alignment readingOrder="0" shrinkToFit="0" wrapText="1"/>
    </xf>
    <xf borderId="147" fillId="0" fontId="2" numFmtId="0" xfId="0" applyAlignment="1" applyBorder="1" applyFont="1">
      <alignment shrinkToFit="0" wrapText="1"/>
    </xf>
    <xf borderId="8" fillId="0" fontId="8" numFmtId="0" xfId="0" applyAlignment="1" applyBorder="1" applyFont="1">
      <alignment readingOrder="0" shrinkToFit="0" wrapText="1"/>
    </xf>
    <xf borderId="143" fillId="6" fontId="65" numFmtId="0" xfId="0" applyAlignment="1" applyBorder="1" applyFill="1" applyFont="1">
      <alignment horizontal="left" shrinkToFit="0" vertical="top" wrapText="1"/>
    </xf>
    <xf borderId="8" fillId="12" fontId="8" numFmtId="0" xfId="0" applyAlignment="1" applyBorder="1" applyFill="1" applyFont="1">
      <alignment readingOrder="0" shrinkToFit="0" wrapText="1"/>
    </xf>
    <xf borderId="8" fillId="4" fontId="8" numFmtId="0" xfId="0" applyAlignment="1" applyBorder="1" applyFill="1" applyFont="1">
      <alignment readingOrder="0" shrinkToFit="0" wrapText="1"/>
    </xf>
    <xf borderId="24" fillId="24" fontId="52" numFmtId="0" xfId="0" applyAlignment="1" applyBorder="1" applyFill="1" applyFont="1">
      <alignment readingOrder="0" shrinkToFit="0" wrapText="1"/>
    </xf>
    <xf borderId="112" fillId="22" fontId="34" numFmtId="168" xfId="0" applyAlignment="1" applyBorder="1" applyFill="1" applyFont="1" applyNumberFormat="1">
      <alignment shrinkToFit="0" vertical="center" wrapText="1"/>
    </xf>
    <xf borderId="8" fillId="24" fontId="52" numFmtId="0" xfId="0" applyAlignment="1" applyBorder="1" applyFill="1" applyFont="1">
      <alignment readingOrder="0" shrinkToFit="0" wrapText="1"/>
    </xf>
    <xf borderId="111" fillId="22" fontId="34" numFmtId="169" xfId="0" applyAlignment="1" applyBorder="1" applyFill="1" applyFont="1" applyNumberFormat="1">
      <alignment horizontal="center" shrinkToFit="0" vertical="center" wrapText="1"/>
    </xf>
    <xf borderId="105" fillId="0" fontId="26" numFmtId="0" xfId="0" applyAlignment="1" applyBorder="1" applyFont="1">
      <alignment horizontal="right" shrinkToFit="0" vertical="bottom" wrapText="1"/>
    </xf>
    <xf borderId="108" fillId="0" fontId="2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8" fillId="0" fontId="11" numFmtId="167" xfId="0" applyAlignment="1" applyBorder="1" applyFont="1" applyNumberFormat="1">
      <alignment readingOrder="0" shrinkToFit="0" wrapText="1"/>
    </xf>
    <xf borderId="110" fillId="0" fontId="56" numFmtId="10" xfId="0" applyAlignment="1" applyBorder="1" applyFont="1" applyNumberFormat="1">
      <alignment horizontal="center" shrinkToFit="0" vertical="bottom" wrapText="1"/>
    </xf>
    <xf borderId="111" fillId="12" fontId="26" numFmtId="168" xfId="0" applyAlignment="1" applyBorder="1" applyFill="1" applyFont="1" applyNumberFormat="1">
      <alignment horizontal="center" shrinkToFit="0" vertical="bottom" wrapText="1"/>
    </xf>
    <xf borderId="0" fillId="0" fontId="26" numFmtId="0" xfId="0" applyAlignment="1" applyFont="1">
      <alignment readingOrder="0" shrinkToFit="0" vertical="center" wrapText="1"/>
    </xf>
    <xf borderId="8" fillId="4" fontId="11" numFmtId="164" xfId="0" applyAlignment="1" applyBorder="1" applyFill="1" applyFont="1" applyNumberFormat="1">
      <alignment shrinkToFit="0" wrapText="1"/>
    </xf>
    <xf borderId="8" fillId="0" fontId="11" numFmtId="168" xfId="0" applyAlignment="1" applyBorder="1" applyFont="1" applyNumberFormat="1">
      <alignment shrinkToFit="0" wrapText="1"/>
    </xf>
    <xf borderId="110" fillId="0" fontId="56" numFmtId="0" xfId="0" applyAlignment="1" applyBorder="1" applyFont="1">
      <alignment shrinkToFit="0" vertical="center" wrapText="1"/>
    </xf>
    <xf borderId="8" fillId="5" fontId="66" numFmtId="168" xfId="0" applyAlignment="1" applyBorder="1" applyFill="1" applyFont="1" applyNumberFormat="1">
      <alignment shrinkToFit="0" wrapText="1"/>
    </xf>
    <xf borderId="111" fillId="22" fontId="34" numFmtId="168" xfId="0" applyAlignment="1" applyBorder="1" applyFill="1" applyFont="1" applyNumberFormat="1">
      <alignment horizontal="center" shrinkToFit="0" vertical="bottom" wrapText="1"/>
    </xf>
    <xf borderId="8" fillId="5" fontId="11" numFmtId="168" xfId="0" applyAlignment="1" applyBorder="1" applyFill="1" applyFont="1" applyNumberFormat="1">
      <alignment shrinkToFit="0" wrapText="1"/>
    </xf>
    <xf borderId="99" fillId="0" fontId="25" numFmtId="0" xfId="0" applyAlignment="1" applyBorder="1" applyFont="1">
      <alignment horizontal="left" shrinkToFit="0" vertical="bottom" wrapText="1"/>
    </xf>
    <xf borderId="109" fillId="0" fontId="26" numFmtId="168" xfId="0" applyAlignment="1" applyBorder="1" applyFont="1" applyNumberFormat="1">
      <alignment horizontal="center" shrinkToFit="0" vertical="bottom" wrapText="1"/>
    </xf>
    <xf borderId="111" fillId="12" fontId="26" numFmtId="168" xfId="0" applyAlignment="1" applyBorder="1" applyFill="1" applyFont="1" applyNumberFormat="1">
      <alignment horizontal="center" readingOrder="0" shrinkToFit="0" vertical="bottom" wrapText="1"/>
    </xf>
    <xf borderId="111" fillId="12" fontId="56" numFmtId="168" xfId="0" applyAlignment="1" applyBorder="1" applyFill="1" applyFont="1" applyNumberFormat="1">
      <alignment horizontal="center" shrinkToFit="0" vertical="bottom" wrapText="1"/>
    </xf>
    <xf borderId="113" fillId="22" fontId="34" numFmtId="0" xfId="0" applyAlignment="1" applyBorder="1" applyFill="1" applyFont="1">
      <alignment shrinkToFit="0" vertical="center" wrapText="1"/>
    </xf>
    <xf borderId="114" fillId="22" fontId="34" numFmtId="0" xfId="0" applyAlignment="1" applyBorder="1" applyFill="1" applyFont="1">
      <alignment shrinkToFit="0" vertical="center" wrapText="1"/>
    </xf>
    <xf borderId="115" fillId="22" fontId="34" numFmtId="168" xfId="0" applyAlignment="1" applyBorder="1" applyFill="1" applyFont="1" applyNumberFormat="1">
      <alignment horizontal="center" shrinkToFit="0" vertical="bottom" wrapText="1"/>
    </xf>
    <xf borderId="116" fillId="0" fontId="26" numFmtId="0" xfId="0" applyAlignment="1" applyBorder="1" applyFont="1">
      <alignment shrinkToFit="0" vertical="bottom" wrapText="1"/>
    </xf>
    <xf borderId="0" fillId="0" fontId="67" numFmtId="0" xfId="0" applyAlignment="1" applyFont="1">
      <alignment horizontal="center" shrinkToFit="0" vertical="center" wrapText="1"/>
    </xf>
    <xf borderId="117" fillId="21" fontId="68" numFmtId="0" xfId="0" applyAlignment="1" applyBorder="1" applyFill="1" applyFont="1">
      <alignment horizontal="center" shrinkToFit="0" vertical="center" wrapText="1"/>
    </xf>
    <xf borderId="120" fillId="21" fontId="26" numFmtId="0" xfId="0" applyAlignment="1" applyBorder="1" applyFill="1" applyFont="1">
      <alignment horizontal="center" shrinkToFit="0" vertical="center" wrapText="1"/>
    </xf>
    <xf borderId="123" fillId="0" fontId="26" numFmtId="0" xfId="0" applyAlignment="1" applyBorder="1" applyFont="1">
      <alignment shrinkToFit="0" vertical="bottom" wrapText="1"/>
    </xf>
    <xf borderId="71" fillId="0" fontId="26" numFmtId="168" xfId="0" applyAlignment="1" applyBorder="1" applyFont="1" applyNumberFormat="1">
      <alignment horizontal="center" shrinkToFit="0" vertical="bottom" wrapText="1"/>
    </xf>
    <xf borderId="125" fillId="0" fontId="26" numFmtId="0" xfId="0" applyAlignment="1" applyBorder="1" applyFont="1">
      <alignment shrinkToFit="0" vertical="bottom" wrapText="1"/>
    </xf>
    <xf borderId="27" fillId="0" fontId="26" numFmtId="168" xfId="0" applyAlignment="1" applyBorder="1" applyFont="1" applyNumberFormat="1">
      <alignment horizontal="center" shrinkToFit="0" vertical="bottom" wrapText="1"/>
    </xf>
    <xf borderId="8" fillId="0" fontId="69" numFmtId="0" xfId="0" applyAlignment="1" applyBorder="1" applyFont="1">
      <alignment shrinkToFit="0" wrapText="1"/>
    </xf>
    <xf borderId="8" fillId="0" fontId="69" numFmtId="0" xfId="0" applyAlignment="1" applyBorder="1" applyFont="1">
      <alignment readingOrder="0" shrinkToFit="0" wrapText="1"/>
    </xf>
    <xf borderId="8" fillId="0" fontId="69" numFmtId="167" xfId="0" applyAlignment="1" applyBorder="1" applyFont="1" applyNumberFormat="1">
      <alignment readingOrder="0" shrinkToFit="0" wrapText="1"/>
    </xf>
    <xf borderId="8" fillId="0" fontId="69" numFmtId="164" xfId="0" applyAlignment="1" applyBorder="1" applyFont="1" applyNumberFormat="1">
      <alignment shrinkToFit="0" wrapText="1"/>
    </xf>
    <xf borderId="8" fillId="12" fontId="69" numFmtId="164" xfId="0" applyAlignment="1" applyBorder="1" applyFill="1" applyFont="1" applyNumberFormat="1">
      <alignment shrinkToFit="0" wrapText="1"/>
    </xf>
    <xf borderId="8" fillId="4" fontId="69" numFmtId="164" xfId="0" applyAlignment="1" applyBorder="1" applyFill="1" applyFont="1" applyNumberFormat="1">
      <alignment shrinkToFit="0" wrapText="1"/>
    </xf>
    <xf borderId="0" fillId="0" fontId="69" numFmtId="0" xfId="0" applyAlignment="1" applyFont="1">
      <alignment shrinkToFit="0" wrapText="1"/>
    </xf>
    <xf borderId="8" fillId="0" fontId="69" numFmtId="168" xfId="0" applyAlignment="1" applyBorder="1" applyFont="1" applyNumberFormat="1">
      <alignment shrinkToFit="0" wrapText="1"/>
    </xf>
    <xf borderId="8" fillId="5" fontId="70" numFmtId="168" xfId="0" applyAlignment="1" applyBorder="1" applyFill="1" applyFont="1" applyNumberFormat="1">
      <alignment shrinkToFit="0" wrapText="1"/>
    </xf>
    <xf borderId="8" fillId="5" fontId="69" numFmtId="168" xfId="0" applyAlignment="1" applyBorder="1" applyFill="1" applyFont="1" applyNumberFormat="1">
      <alignment shrinkToFit="0" wrapText="1"/>
    </xf>
    <xf borderId="127" fillId="0" fontId="26" numFmtId="168" xfId="0" applyAlignment="1" applyBorder="1" applyFont="1" applyNumberFormat="1">
      <alignment horizontal="center" shrinkToFit="0" vertical="bottom" wrapText="1"/>
    </xf>
    <xf borderId="129" fillId="0" fontId="26" numFmtId="0" xfId="0" applyAlignment="1" applyBorder="1" applyFont="1">
      <alignment horizontal="center" shrinkToFit="0" vertical="bottom" wrapText="1"/>
    </xf>
    <xf borderId="131" fillId="23" fontId="34" numFmtId="0" xfId="0" applyAlignment="1" applyBorder="1" applyFill="1" applyFont="1">
      <alignment shrinkToFit="0" vertical="center" wrapText="1"/>
    </xf>
    <xf borderId="132" fillId="23" fontId="34" numFmtId="168" xfId="0" applyAlignment="1" applyBorder="1" applyFill="1" applyFont="1" applyNumberFormat="1">
      <alignment horizontal="center" shrinkToFit="0" vertical="center" wrapText="1"/>
    </xf>
    <xf borderId="117" fillId="21" fontId="68" numFmtId="0" xfId="0" applyAlignment="1" applyBorder="1" applyFill="1" applyFont="1">
      <alignment horizontal="center" readingOrder="0" shrinkToFit="0" vertical="center" wrapText="1"/>
    </xf>
    <xf borderId="134" fillId="0" fontId="71" numFmtId="0" xfId="0" applyAlignment="1" applyBorder="1" applyFont="1">
      <alignment horizontal="left" shrinkToFit="0" vertical="bottom" wrapText="1"/>
    </xf>
    <xf borderId="135" fillId="0" fontId="71" numFmtId="167" xfId="0" applyAlignment="1" applyBorder="1" applyFont="1" applyNumberFormat="1">
      <alignment horizontal="center" shrinkToFit="0" vertical="center" wrapText="1"/>
    </xf>
    <xf borderId="125" fillId="0" fontId="26" numFmtId="0" xfId="0" applyAlignment="1" applyBorder="1" applyFont="1">
      <alignment horizontal="left" shrinkToFit="0" vertical="bottom" wrapText="1"/>
    </xf>
    <xf borderId="27" fillId="0" fontId="26" numFmtId="164" xfId="0" applyAlignment="1" applyBorder="1" applyFont="1" applyNumberFormat="1">
      <alignment horizontal="center" shrinkToFit="0" vertical="center" wrapText="1"/>
    </xf>
    <xf borderId="27" fillId="0" fontId="26" numFmtId="168" xfId="0" applyAlignment="1" applyBorder="1" applyFont="1" applyNumberFormat="1">
      <alignment horizontal="center" shrinkToFit="0" vertical="center" wrapText="1"/>
    </xf>
    <xf borderId="137" fillId="0" fontId="26" numFmtId="0" xfId="0" applyAlignment="1" applyBorder="1" applyFont="1">
      <alignment horizontal="left" readingOrder="0" shrinkToFit="0" vertical="bottom" wrapText="1"/>
    </xf>
    <xf borderId="72" fillId="0" fontId="26" numFmtId="10" xfId="0" applyAlignment="1" applyBorder="1" applyFont="1" applyNumberFormat="1">
      <alignment horizontal="center" shrinkToFit="0" vertical="center" wrapText="1"/>
    </xf>
    <xf borderId="139" fillId="0" fontId="26" numFmtId="0" xfId="0" applyAlignment="1" applyBorder="1" applyFont="1">
      <alignment horizontal="left" shrinkToFit="0" vertical="bottom" wrapText="1"/>
    </xf>
    <xf borderId="142" fillId="23" fontId="34" numFmtId="0" xfId="0" applyAlignment="1" applyBorder="1" applyFill="1" applyFont="1">
      <alignment shrinkToFit="0" vertical="center" wrapText="1"/>
    </xf>
    <xf borderId="132" fillId="23" fontId="34" numFmtId="10" xfId="0" applyAlignment="1" applyBorder="1" applyFill="1" applyFont="1" applyNumberFormat="1">
      <alignment horizontal="center" shrinkToFit="0" vertical="center" wrapText="1"/>
    </xf>
    <xf borderId="0" fillId="0" fontId="56" numFmtId="0" xfId="0" applyAlignment="1" applyFont="1">
      <alignment shrinkToFit="0" vertical="bottom" wrapText="1"/>
    </xf>
    <xf borderId="0" fillId="0" fontId="72" numFmtId="0" xfId="0" applyAlignment="1" applyFont="1">
      <alignment shrinkToFit="0" wrapText="1"/>
    </xf>
    <xf borderId="8" fillId="0" fontId="72" numFmtId="0" xfId="0" applyAlignment="1" applyBorder="1" applyFont="1">
      <alignment shrinkToFit="0" wrapText="1"/>
    </xf>
    <xf borderId="8" fillId="0" fontId="72" numFmtId="164" xfId="0" applyAlignment="1" applyBorder="1" applyFont="1" applyNumberFormat="1">
      <alignment shrinkToFit="0" wrapText="1"/>
    </xf>
    <xf borderId="8" fillId="0" fontId="72" numFmtId="168" xfId="0" applyAlignment="1" applyBorder="1" applyFont="1" applyNumberFormat="1">
      <alignment shrinkToFit="0" wrapText="1"/>
    </xf>
    <xf borderId="8" fillId="5" fontId="73" numFmtId="168" xfId="0" applyAlignment="1" applyBorder="1" applyFill="1" applyFont="1" applyNumberFormat="1">
      <alignment shrinkToFit="0" wrapText="1"/>
    </xf>
    <xf borderId="8" fillId="5" fontId="72" numFmtId="168" xfId="0" applyAlignment="1" applyBorder="1" applyFill="1" applyFont="1" applyNumberFormat="1">
      <alignment shrinkToFit="0" wrapText="1"/>
    </xf>
    <xf borderId="8" fillId="0" fontId="8" numFmtId="168" xfId="0" applyAlignment="1" applyBorder="1" applyFont="1" applyNumberFormat="1">
      <alignment shrinkToFit="0" wrapText="1"/>
    </xf>
  </cellXfs>
  <cellStyles count="1">
    <cellStyle xfId="0" name="Normal" builtinId="0"/>
  </cellStyles>
  <dxfs count="2">
    <dxf>
      <font>
        <color rgb="FF9900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 vs. ROI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'Aquisitions Deal Analyzer'!$H$37:$H$38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'Aquisitions Deal Analyzer'!$G$39:$G$42</c:f>
            </c:strRef>
          </c:cat>
          <c:val>
            <c:numRef>
              <c:f>'Aquisitions Deal Analyzer'!$H$39:$H$42</c:f>
              <c:numCache/>
            </c:numRef>
          </c:val>
        </c:ser>
        <c:axId val="149786390"/>
        <c:axId val="1853803313"/>
      </c:barChart>
      <c:catAx>
        <c:axId val="149786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803313"/>
      </c:catAx>
      <c:valAx>
        <c:axId val="1853803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86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885825</xdr:colOff>
      <xdr:row>17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34525" cy="1314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usmane Toure" id="{10260c6d-645c-4835-80bc-1b7afdf00de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" dT="2022-01-22T23:24:24.00" personId="{10260c6d-645c-4835-80bc-1b7afdf00de3}" id="{2fa1c77b-2272-4d5e-850d-2970f95c7500}" done="1">
    <x18tc:text xml:space="preserve">Expenses Required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qpi-ibwe-vz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document/d/1nlNMYw44OTGcmdOozJGbRqV0EkmI2NJo40TqVi59hRg/edit" TargetMode="External"/><Relationship Id="rId3" Type="http://schemas.openxmlformats.org/officeDocument/2006/relationships/drawing" Target="../drawings/drawing10.xml"/><Relationship Id="rId4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advisor.com/cost/" TargetMode="External"/><Relationship Id="rId2" Type="http://schemas.openxmlformats.org/officeDocument/2006/relationships/hyperlink" Target="https://homeguide.com/costs/house-remodeling-cost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0.86"/>
  </cols>
  <sheetData>
    <row r="1">
      <c r="B1" s="1" t="s">
        <v>0</v>
      </c>
      <c r="C1" s="2"/>
      <c r="E1" s="5" t="s">
        <v>2</v>
      </c>
      <c r="F1" s="2"/>
    </row>
    <row r="2">
      <c r="B2" s="7"/>
      <c r="C2" s="8"/>
      <c r="E2" s="7"/>
      <c r="F2" s="8"/>
    </row>
    <row r="3">
      <c r="B3" s="11" t="s">
        <v>6</v>
      </c>
      <c r="C3" s="16">
        <f>F3*0.7</f>
        <v>210000</v>
      </c>
      <c r="E3" s="11" t="s">
        <v>15</v>
      </c>
      <c r="F3" s="21">
        <f>K3</f>
        <v>300000</v>
      </c>
      <c r="G3" s="22" t="s">
        <v>18</v>
      </c>
      <c r="H3" s="23">
        <v>300000.0</v>
      </c>
      <c r="I3" s="23">
        <v>300000.0</v>
      </c>
      <c r="J3" s="23">
        <v>300000.0</v>
      </c>
      <c r="K3" s="28">
        <f>AVERAGE(H3:J3)</f>
        <v>300000</v>
      </c>
    </row>
    <row r="4">
      <c r="B4" s="11" t="s">
        <v>23</v>
      </c>
      <c r="C4" s="31">
        <v>-10000.0</v>
      </c>
      <c r="E4" s="11" t="s">
        <v>29</v>
      </c>
      <c r="F4" s="32">
        <v>2000.0</v>
      </c>
    </row>
    <row r="5">
      <c r="B5" s="11" t="s">
        <v>33</v>
      </c>
      <c r="C5" s="16">
        <f>sum(C3:C4)</f>
        <v>200000</v>
      </c>
      <c r="E5" s="11" t="s">
        <v>37</v>
      </c>
      <c r="F5" s="23">
        <v>150.0</v>
      </c>
      <c r="G5" s="22" t="s">
        <v>38</v>
      </c>
    </row>
    <row r="6">
      <c r="B6" s="11" t="s">
        <v>40</v>
      </c>
      <c r="C6" s="35">
        <f>-F4*F5</f>
        <v>-300000</v>
      </c>
      <c r="E6" s="11" t="s">
        <v>42</v>
      </c>
      <c r="F6" s="23">
        <v>100.0</v>
      </c>
      <c r="G6" s="22" t="s">
        <v>38</v>
      </c>
    </row>
    <row r="7">
      <c r="B7" s="37" t="s">
        <v>43</v>
      </c>
      <c r="C7" s="40">
        <f>sum(C5:C6)</f>
        <v>-100000</v>
      </c>
      <c r="E7" s="11" t="s">
        <v>46</v>
      </c>
      <c r="F7" s="23">
        <v>60.0</v>
      </c>
      <c r="G7" s="22" t="s">
        <v>38</v>
      </c>
    </row>
    <row r="8">
      <c r="B8" s="11" t="s">
        <v>47</v>
      </c>
      <c r="C8" s="42">
        <f>C7/F3</f>
        <v>-0.3333333333</v>
      </c>
    </row>
    <row r="9">
      <c r="D9" s="48" t="s">
        <v>48</v>
      </c>
    </row>
    <row r="10">
      <c r="B10" s="1" t="s">
        <v>51</v>
      </c>
      <c r="C10" s="2"/>
      <c r="E10" s="49"/>
      <c r="H10" s="49"/>
      <c r="I10" s="49"/>
      <c r="J10" s="49"/>
      <c r="K10" s="49"/>
    </row>
    <row r="11">
      <c r="B11" s="7"/>
      <c r="C11" s="8"/>
    </row>
    <row r="12">
      <c r="B12" s="11" t="s">
        <v>6</v>
      </c>
      <c r="C12" s="16">
        <f>F3*0.7</f>
        <v>210000</v>
      </c>
    </row>
    <row r="13">
      <c r="B13" s="11" t="s">
        <v>23</v>
      </c>
      <c r="C13" s="31">
        <v>-10000.0</v>
      </c>
      <c r="E13" s="50" t="s">
        <v>52</v>
      </c>
      <c r="F13" s="50" t="s">
        <v>53</v>
      </c>
      <c r="G13" s="51" t="s">
        <v>54</v>
      </c>
      <c r="H13" s="52" t="s">
        <v>55</v>
      </c>
      <c r="I13" s="50" t="s">
        <v>56</v>
      </c>
      <c r="J13" s="50" t="s">
        <v>57</v>
      </c>
      <c r="K13" s="50" t="s">
        <v>58</v>
      </c>
    </row>
    <row r="14">
      <c r="B14" s="11" t="s">
        <v>33</v>
      </c>
      <c r="C14" s="16">
        <f>sum(C12:C13)</f>
        <v>200000</v>
      </c>
      <c r="E14" s="53" t="s">
        <v>59</v>
      </c>
      <c r="F14" s="54">
        <f>F3</f>
        <v>300000</v>
      </c>
      <c r="G14" s="55">
        <v>0.6</v>
      </c>
      <c r="H14" s="53"/>
      <c r="I14" s="56">
        <v>1.0</v>
      </c>
      <c r="J14" s="56">
        <v>1.0</v>
      </c>
      <c r="K14" s="57">
        <f t="shared" ref="K14:K15" si="1">F14*G14/(I14*J14)</f>
        <v>180000</v>
      </c>
    </row>
    <row r="15">
      <c r="B15" s="11" t="s">
        <v>40</v>
      </c>
      <c r="C15" s="35">
        <f>-F4*F6</f>
        <v>-200000</v>
      </c>
      <c r="E15" s="58" t="s">
        <v>60</v>
      </c>
      <c r="F15" s="59">
        <f>F3</f>
        <v>300000</v>
      </c>
      <c r="G15" s="60">
        <v>1.0</v>
      </c>
      <c r="H15" s="61"/>
      <c r="I15" s="62">
        <v>5.0</v>
      </c>
      <c r="J15" s="63">
        <v>5.0</v>
      </c>
      <c r="K15" s="65">
        <f t="shared" si="1"/>
        <v>12000</v>
      </c>
    </row>
    <row r="16">
      <c r="B16" s="37" t="s">
        <v>43</v>
      </c>
      <c r="C16" s="40">
        <f>sum(C14:C15)</f>
        <v>0</v>
      </c>
      <c r="E16" s="68"/>
      <c r="F16" s="68"/>
      <c r="G16" s="68"/>
      <c r="H16" s="68"/>
      <c r="I16" s="69"/>
      <c r="J16" s="68"/>
      <c r="K16" s="74">
        <f>K14-K15</f>
        <v>168000</v>
      </c>
    </row>
    <row r="17">
      <c r="B17" s="11" t="s">
        <v>47</v>
      </c>
      <c r="C17" s="42">
        <f>C16/F3</f>
        <v>0</v>
      </c>
    </row>
    <row r="19">
      <c r="B19" s="1" t="s">
        <v>66</v>
      </c>
      <c r="C19" s="2"/>
    </row>
    <row r="20">
      <c r="B20" s="7"/>
      <c r="C20" s="8"/>
    </row>
    <row r="21">
      <c r="B21" s="11" t="s">
        <v>6</v>
      </c>
      <c r="C21" s="16">
        <f>F3*0.7</f>
        <v>210000</v>
      </c>
    </row>
    <row r="22">
      <c r="B22" s="11" t="s">
        <v>23</v>
      </c>
      <c r="C22" s="31">
        <v>-10000.0</v>
      </c>
    </row>
    <row r="23">
      <c r="B23" s="11" t="s">
        <v>33</v>
      </c>
      <c r="C23" s="16">
        <f>sum(C21:C22)</f>
        <v>200000</v>
      </c>
    </row>
    <row r="24">
      <c r="B24" s="11" t="s">
        <v>40</v>
      </c>
      <c r="C24" s="35">
        <f>-F4*F7</f>
        <v>-120000</v>
      </c>
    </row>
    <row r="25">
      <c r="B25" s="37" t="s">
        <v>43</v>
      </c>
      <c r="C25" s="40">
        <f>sum(C23:C24)</f>
        <v>80000</v>
      </c>
    </row>
    <row r="26">
      <c r="B26" s="11" t="s">
        <v>47</v>
      </c>
      <c r="C26" s="42">
        <f>C25/F3</f>
        <v>0.2666666667</v>
      </c>
    </row>
  </sheetData>
  <mergeCells count="6">
    <mergeCell ref="B1:C2"/>
    <mergeCell ref="E1:F2"/>
    <mergeCell ref="B10:C11"/>
    <mergeCell ref="E10:G10"/>
    <mergeCell ref="E12:G12"/>
    <mergeCell ref="B19:C20"/>
  </mergeCells>
  <hyperlinks>
    <hyperlink r:id="rId1" ref="D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4" max="4" width="19.0"/>
    <col customWidth="1" min="13" max="13" width="19.71"/>
  </cols>
  <sheetData>
    <row r="2">
      <c r="A2" s="87"/>
      <c r="B2" s="91" t="s">
        <v>73</v>
      </c>
      <c r="C2" s="92"/>
      <c r="D2" s="92"/>
      <c r="E2" s="92"/>
      <c r="F2" s="92"/>
      <c r="G2" s="92"/>
      <c r="H2" s="92"/>
      <c r="I2" s="92"/>
      <c r="J2" s="92"/>
      <c r="K2" s="94"/>
    </row>
    <row r="3">
      <c r="B3" s="95" t="s">
        <v>74</v>
      </c>
      <c r="C3" s="4"/>
      <c r="D3" s="6"/>
      <c r="E3" s="96"/>
      <c r="F3" s="4"/>
      <c r="G3" s="4"/>
      <c r="H3" s="4"/>
      <c r="I3" s="4"/>
      <c r="J3" s="4"/>
      <c r="K3" s="6"/>
      <c r="M3" s="11" t="s">
        <v>6</v>
      </c>
      <c r="N3" s="105">
        <f>E13*0.7</f>
        <v>210000</v>
      </c>
      <c r="O3" s="107"/>
    </row>
    <row r="4">
      <c r="B4" s="108" t="s">
        <v>79</v>
      </c>
      <c r="D4" s="110"/>
      <c r="E4" s="111"/>
      <c r="F4" s="113"/>
      <c r="G4" s="113"/>
      <c r="H4" s="113"/>
      <c r="I4" s="113"/>
      <c r="J4" s="113"/>
      <c r="K4" s="114"/>
      <c r="M4" s="11" t="s">
        <v>23</v>
      </c>
      <c r="N4" s="119">
        <v>-10000.0</v>
      </c>
      <c r="O4" s="107"/>
    </row>
    <row r="5">
      <c r="B5" s="108" t="s">
        <v>86</v>
      </c>
      <c r="D5" s="110"/>
      <c r="E5" s="111"/>
      <c r="F5" s="113"/>
      <c r="G5" s="113"/>
      <c r="H5" s="113"/>
      <c r="I5" s="113"/>
      <c r="J5" s="113"/>
      <c r="K5" s="114"/>
      <c r="M5" s="11" t="s">
        <v>33</v>
      </c>
      <c r="N5" s="105">
        <f>sum(N3:N4)</f>
        <v>200000</v>
      </c>
      <c r="O5" s="107"/>
    </row>
    <row r="6">
      <c r="B6" s="126" t="s">
        <v>93</v>
      </c>
      <c r="C6" s="25"/>
      <c r="D6" s="26"/>
      <c r="E6" s="128"/>
      <c r="F6" s="25"/>
      <c r="G6" s="25"/>
      <c r="H6" s="25"/>
      <c r="I6" s="25"/>
      <c r="J6" s="25"/>
      <c r="K6" s="26"/>
      <c r="M6" s="11" t="s">
        <v>40</v>
      </c>
      <c r="N6" s="132">
        <f>-E12</f>
        <v>-20050</v>
      </c>
      <c r="O6" s="107"/>
    </row>
    <row r="7">
      <c r="M7" s="11" t="s">
        <v>43</v>
      </c>
      <c r="N7" s="16">
        <f>sum(N5:N6)</f>
        <v>179950</v>
      </c>
    </row>
    <row r="8">
      <c r="B8" s="137" t="s">
        <v>104</v>
      </c>
      <c r="C8" s="92"/>
      <c r="D8" s="92"/>
      <c r="E8" s="92"/>
      <c r="F8" s="94"/>
      <c r="G8" s="138" t="s">
        <v>107</v>
      </c>
      <c r="H8" s="92"/>
      <c r="I8" s="92"/>
      <c r="J8" s="92"/>
      <c r="K8" s="94"/>
      <c r="M8" s="11" t="s">
        <v>47</v>
      </c>
      <c r="N8" s="42">
        <f>N7/E13</f>
        <v>0.5998333333</v>
      </c>
    </row>
    <row r="9">
      <c r="B9" s="95" t="s">
        <v>110</v>
      </c>
      <c r="C9" s="4"/>
      <c r="D9" s="4"/>
      <c r="E9" s="145">
        <v>4.0</v>
      </c>
      <c r="F9" s="6"/>
      <c r="G9" s="148"/>
      <c r="H9" s="4"/>
      <c r="I9" s="150"/>
      <c r="J9" s="150"/>
      <c r="K9" s="152"/>
    </row>
    <row r="10">
      <c r="B10" s="108" t="s">
        <v>114</v>
      </c>
      <c r="E10" s="155">
        <v>200000.0</v>
      </c>
      <c r="F10" s="156"/>
      <c r="G10" s="158" t="s">
        <v>115</v>
      </c>
      <c r="J10" s="161">
        <f>E32</f>
        <v>15333.33333</v>
      </c>
      <c r="K10" s="110"/>
      <c r="M10" s="162" t="s">
        <v>119</v>
      </c>
      <c r="N10" s="163"/>
    </row>
    <row r="11">
      <c r="B11" s="165" t="s">
        <v>120</v>
      </c>
      <c r="E11" s="155">
        <v>200000.0</v>
      </c>
      <c r="F11" s="156"/>
      <c r="G11" s="158" t="s">
        <v>123</v>
      </c>
      <c r="J11" s="169">
        <f>J32</f>
        <v>7633.333333</v>
      </c>
      <c r="K11" s="114"/>
      <c r="M11" s="170" t="s">
        <v>124</v>
      </c>
      <c r="N11" s="173">
        <f>J10+J11</f>
        <v>22966.66667</v>
      </c>
    </row>
    <row r="12">
      <c r="B12" s="165" t="s">
        <v>126</v>
      </c>
      <c r="E12" s="175">
        <v>20050.0</v>
      </c>
      <c r="F12" s="176"/>
      <c r="G12" s="158" t="s">
        <v>127</v>
      </c>
      <c r="J12" s="179">
        <f>sum(F37:F39)</f>
        <v>4500</v>
      </c>
      <c r="K12" s="176"/>
      <c r="M12" s="170" t="s">
        <v>129</v>
      </c>
      <c r="N12" s="173">
        <f>J14</f>
        <v>44453.33333</v>
      </c>
    </row>
    <row r="13">
      <c r="B13" s="165" t="s">
        <v>130</v>
      </c>
      <c r="E13" s="181">
        <v>300000.0</v>
      </c>
      <c r="F13" s="110"/>
      <c r="G13" s="158" t="s">
        <v>131</v>
      </c>
      <c r="J13" s="161">
        <f>sum(F42:F49)</f>
        <v>8030</v>
      </c>
      <c r="K13" s="110"/>
      <c r="M13" s="170" t="s">
        <v>132</v>
      </c>
      <c r="N13" s="185">
        <f>N12/N11</f>
        <v>1.935558781</v>
      </c>
    </row>
    <row r="14">
      <c r="B14" s="186" t="s">
        <v>133</v>
      </c>
      <c r="C14" s="4"/>
      <c r="D14" s="4"/>
      <c r="E14" s="191">
        <f>-sum(E11:F12)</f>
        <v>-220050</v>
      </c>
      <c r="F14" s="6"/>
      <c r="G14" s="192" t="s">
        <v>135</v>
      </c>
      <c r="H14" s="4"/>
      <c r="I14" s="4"/>
      <c r="J14" s="191">
        <f>E13-(E11+E12+J10+J11+J12+J13)</f>
        <v>44453.33333</v>
      </c>
      <c r="K14" s="6"/>
      <c r="M14" s="170" t="s">
        <v>137</v>
      </c>
      <c r="N14" s="196" t="str">
        <f>CONCATENATE(E9," Months")</f>
        <v>4 Months</v>
      </c>
    </row>
    <row r="15">
      <c r="B15" s="197"/>
      <c r="C15" s="25"/>
      <c r="D15" s="25"/>
      <c r="E15" s="197"/>
      <c r="F15" s="26"/>
      <c r="G15" s="197"/>
      <c r="H15" s="25"/>
      <c r="I15" s="25"/>
      <c r="J15" s="197"/>
      <c r="K15" s="26"/>
    </row>
    <row r="16">
      <c r="M16" s="22" t="s">
        <v>139</v>
      </c>
    </row>
    <row r="17">
      <c r="B17" s="199" t="s">
        <v>140</v>
      </c>
      <c r="C17" s="4"/>
      <c r="D17" s="4"/>
      <c r="E17" s="4"/>
      <c r="F17" s="6"/>
      <c r="G17" s="138" t="s">
        <v>142</v>
      </c>
      <c r="H17" s="92"/>
      <c r="I17" s="92"/>
      <c r="J17" s="92"/>
      <c r="K17" s="94"/>
    </row>
    <row r="18">
      <c r="B18" s="200"/>
      <c r="E18" s="201" t="s">
        <v>144</v>
      </c>
      <c r="F18" s="202" t="s">
        <v>145</v>
      </c>
      <c r="G18" s="203"/>
      <c r="H18" s="150"/>
      <c r="I18" s="150"/>
      <c r="J18" s="201" t="s">
        <v>64</v>
      </c>
      <c r="K18" s="202" t="s">
        <v>146</v>
      </c>
    </row>
    <row r="19">
      <c r="B19" s="108" t="s">
        <v>147</v>
      </c>
      <c r="E19" s="204">
        <v>200000.0</v>
      </c>
      <c r="F19" s="205"/>
      <c r="G19" s="206" t="s">
        <v>11</v>
      </c>
      <c r="J19" s="207">
        <v>0.0875</v>
      </c>
      <c r="K19" s="208">
        <f>((J19*E10)/12)*E9</f>
        <v>5833.333333</v>
      </c>
    </row>
    <row r="20">
      <c r="B20" s="108" t="s">
        <v>8</v>
      </c>
      <c r="E20" s="209">
        <v>0.03</v>
      </c>
      <c r="F20" s="208">
        <f>E20*$E$19</f>
        <v>6000</v>
      </c>
      <c r="G20" s="206" t="s">
        <v>12</v>
      </c>
      <c r="J20" s="211">
        <v>0.0</v>
      </c>
      <c r="K20" s="208">
        <f>J20*E9</f>
        <v>0</v>
      </c>
    </row>
    <row r="21">
      <c r="B21" s="108" t="s">
        <v>9</v>
      </c>
      <c r="E21" s="212">
        <v>0.0</v>
      </c>
      <c r="F21" s="208">
        <f>E21*E19*E9</f>
        <v>0</v>
      </c>
      <c r="G21" s="206" t="s">
        <v>13</v>
      </c>
      <c r="J21" s="211">
        <v>100.0</v>
      </c>
      <c r="K21" s="208">
        <f t="shared" ref="K21:K25" si="1">J21*$E$9</f>
        <v>400</v>
      </c>
    </row>
    <row r="22">
      <c r="B22" s="126" t="s">
        <v>10</v>
      </c>
      <c r="C22" s="25"/>
      <c r="D22" s="25"/>
      <c r="E22" s="209">
        <f>0.14/12</f>
        <v>0.01166666667</v>
      </c>
      <c r="F22" s="208">
        <f>E22*E19*E9</f>
        <v>9333.333333</v>
      </c>
      <c r="G22" s="214" t="s">
        <v>14</v>
      </c>
      <c r="J22" s="181">
        <v>0.0</v>
      </c>
      <c r="K22" s="208">
        <f t="shared" si="1"/>
        <v>0</v>
      </c>
    </row>
    <row r="23">
      <c r="B23" s="95" t="s">
        <v>157</v>
      </c>
      <c r="C23" s="4"/>
      <c r="D23" s="4"/>
      <c r="E23" s="216">
        <v>0.0</v>
      </c>
      <c r="F23" s="217"/>
      <c r="G23" s="214" t="s">
        <v>24</v>
      </c>
      <c r="J23" s="181">
        <v>150.0</v>
      </c>
      <c r="K23" s="208">
        <f t="shared" si="1"/>
        <v>600</v>
      </c>
    </row>
    <row r="24">
      <c r="B24" s="219" t="s">
        <v>159</v>
      </c>
      <c r="E24" s="209">
        <v>0.1</v>
      </c>
      <c r="F24" s="208">
        <f t="shared" ref="F24:F25" si="2">E24*$E$23</f>
        <v>0</v>
      </c>
      <c r="G24" s="214" t="s">
        <v>25</v>
      </c>
      <c r="J24" s="181">
        <v>100.0</v>
      </c>
      <c r="K24" s="208">
        <f t="shared" si="1"/>
        <v>400</v>
      </c>
    </row>
    <row r="25">
      <c r="B25" s="108" t="s">
        <v>161</v>
      </c>
      <c r="E25" s="212">
        <v>0.0</v>
      </c>
      <c r="F25" s="208">
        <f t="shared" si="2"/>
        <v>0</v>
      </c>
      <c r="G25" s="214" t="s">
        <v>26</v>
      </c>
      <c r="J25" s="181">
        <v>100.0</v>
      </c>
      <c r="K25" s="208">
        <f t="shared" si="1"/>
        <v>400</v>
      </c>
    </row>
    <row r="26">
      <c r="B26" s="126" t="s">
        <v>163</v>
      </c>
      <c r="C26" s="25"/>
      <c r="D26" s="25"/>
      <c r="E26" s="220">
        <v>0.0</v>
      </c>
      <c r="F26" s="208">
        <f>E26*$E$23*E9</f>
        <v>0</v>
      </c>
      <c r="G26" s="214" t="s">
        <v>27</v>
      </c>
      <c r="J26" s="222"/>
      <c r="K26" s="208">
        <f>J26*E9</f>
        <v>0</v>
      </c>
    </row>
    <row r="27">
      <c r="B27" s="95" t="s">
        <v>166</v>
      </c>
      <c r="C27" s="4"/>
      <c r="D27" s="4"/>
      <c r="E27" s="223"/>
      <c r="F27" s="224">
        <v>0.0</v>
      </c>
      <c r="G27" s="226" t="s">
        <v>168</v>
      </c>
      <c r="H27" s="25"/>
      <c r="I27" s="25"/>
      <c r="J27" s="228">
        <f>sum(K19:K26)</f>
        <v>7633.333333</v>
      </c>
      <c r="K27" s="94"/>
    </row>
    <row r="28">
      <c r="B28" s="108" t="s">
        <v>170</v>
      </c>
      <c r="E28" s="229"/>
      <c r="F28" s="230">
        <v>0.0</v>
      </c>
      <c r="G28" s="206" t="s">
        <v>171</v>
      </c>
      <c r="J28" s="231"/>
      <c r="K28" s="232">
        <f t="shared" ref="K28:K31" si="3">$E$9*J28</f>
        <v>0</v>
      </c>
    </row>
    <row r="29">
      <c r="B29" s="108" t="s">
        <v>172</v>
      </c>
      <c r="E29" s="229"/>
      <c r="F29" s="230">
        <v>0.0</v>
      </c>
      <c r="G29" s="206" t="s">
        <v>171</v>
      </c>
      <c r="J29" s="233"/>
      <c r="K29" s="232">
        <f t="shared" si="3"/>
        <v>0</v>
      </c>
    </row>
    <row r="30">
      <c r="B30" s="108" t="s">
        <v>174</v>
      </c>
      <c r="E30" s="229"/>
      <c r="F30" s="230">
        <v>0.0</v>
      </c>
      <c r="G30" s="206" t="s">
        <v>171</v>
      </c>
      <c r="J30" s="231"/>
      <c r="K30" s="232">
        <f t="shared" si="3"/>
        <v>0</v>
      </c>
    </row>
    <row r="31">
      <c r="B31" s="108" t="s">
        <v>175</v>
      </c>
      <c r="E31" s="229"/>
      <c r="F31" s="230">
        <v>0.0</v>
      </c>
      <c r="G31" s="206" t="s">
        <v>171</v>
      </c>
      <c r="J31" s="231"/>
      <c r="K31" s="232">
        <f t="shared" si="3"/>
        <v>0</v>
      </c>
    </row>
    <row r="32">
      <c r="B32" s="236" t="s">
        <v>176</v>
      </c>
      <c r="E32" s="191">
        <f>sum(F19:F31)</f>
        <v>15333.33333</v>
      </c>
      <c r="F32" s="6"/>
      <c r="G32" s="236" t="s">
        <v>177</v>
      </c>
      <c r="J32" s="191">
        <f>sum(K19:K31)</f>
        <v>7633.333333</v>
      </c>
      <c r="K32" s="6"/>
    </row>
    <row r="33">
      <c r="B33" s="197"/>
      <c r="C33" s="25"/>
      <c r="D33" s="25"/>
      <c r="E33" s="197"/>
      <c r="F33" s="26"/>
      <c r="G33" s="197"/>
      <c r="H33" s="25"/>
      <c r="I33" s="25"/>
      <c r="J33" s="197"/>
      <c r="K33" s="26"/>
    </row>
    <row r="35">
      <c r="B35" s="138" t="s">
        <v>179</v>
      </c>
      <c r="C35" s="92"/>
      <c r="D35" s="92"/>
      <c r="E35" s="92"/>
      <c r="F35" s="94"/>
      <c r="G35" s="138" t="s">
        <v>180</v>
      </c>
      <c r="H35" s="92"/>
      <c r="I35" s="92"/>
      <c r="J35" s="92"/>
      <c r="K35" s="94"/>
    </row>
    <row r="36">
      <c r="B36" s="242"/>
      <c r="C36" s="243"/>
      <c r="D36" s="243"/>
      <c r="E36" s="201" t="s">
        <v>182</v>
      </c>
      <c r="F36" s="202" t="s">
        <v>183</v>
      </c>
      <c r="G36" s="231"/>
      <c r="K36" s="244"/>
    </row>
    <row r="37">
      <c r="B37" s="206" t="s">
        <v>28</v>
      </c>
      <c r="E37" s="209">
        <v>0.005</v>
      </c>
      <c r="F37" s="208">
        <f t="shared" ref="F37:F39" si="4">E37*$E$13</f>
        <v>1500</v>
      </c>
      <c r="G37" s="247" t="s">
        <v>185</v>
      </c>
      <c r="H37" s="2"/>
      <c r="I37" s="249" t="s">
        <v>186</v>
      </c>
      <c r="J37" s="251" t="s">
        <v>187</v>
      </c>
      <c r="K37" s="244"/>
    </row>
    <row r="38">
      <c r="B38" s="206" t="s">
        <v>188</v>
      </c>
      <c r="E38" s="209">
        <v>0.01</v>
      </c>
      <c r="F38" s="208">
        <f t="shared" si="4"/>
        <v>3000</v>
      </c>
      <c r="G38" s="7"/>
      <c r="H38" s="8"/>
      <c r="I38" s="67"/>
      <c r="J38" s="67"/>
      <c r="K38" s="244"/>
    </row>
    <row r="39">
      <c r="B39" s="252" t="s">
        <v>31</v>
      </c>
      <c r="C39" s="25"/>
      <c r="D39" s="25"/>
      <c r="E39" s="253">
        <v>0.0</v>
      </c>
      <c r="F39" s="208">
        <f t="shared" si="4"/>
        <v>0</v>
      </c>
      <c r="G39" s="11" t="s">
        <v>124</v>
      </c>
      <c r="H39" s="254">
        <f>J10+J11</f>
        <v>22966.66667</v>
      </c>
      <c r="I39" s="257">
        <f>-if(min('Delayed Draw Cash Flow'!H6:H41)&lt;0,min('Delayed Draw Cash Flow'!H6:H41),0)</f>
        <v>3246.875</v>
      </c>
      <c r="J39" s="258">
        <f>Sum(H39:I39)</f>
        <v>26213.54167</v>
      </c>
      <c r="K39" s="244"/>
    </row>
    <row r="40">
      <c r="B40" s="138" t="s">
        <v>193</v>
      </c>
      <c r="C40" s="92"/>
      <c r="D40" s="92"/>
      <c r="E40" s="92"/>
      <c r="F40" s="94"/>
      <c r="G40" s="11" t="s">
        <v>129</v>
      </c>
      <c r="H40" s="254">
        <f>J14</f>
        <v>44453.33333</v>
      </c>
      <c r="I40" s="261"/>
      <c r="J40" s="258">
        <f>H40</f>
        <v>44453.33333</v>
      </c>
      <c r="K40" s="244"/>
    </row>
    <row r="41">
      <c r="B41" s="242"/>
      <c r="E41" s="201" t="s">
        <v>182</v>
      </c>
      <c r="F41" s="202" t="s">
        <v>183</v>
      </c>
      <c r="G41" s="264" t="s">
        <v>132</v>
      </c>
      <c r="H41" s="266">
        <f>H40/H39</f>
        <v>1.935558781</v>
      </c>
      <c r="I41" s="261"/>
      <c r="J41" s="268">
        <f>J40/J39</f>
        <v>1.695815617</v>
      </c>
      <c r="K41" s="244"/>
    </row>
    <row r="42">
      <c r="B42" s="219" t="s">
        <v>196</v>
      </c>
      <c r="E42" s="269">
        <v>0.005</v>
      </c>
      <c r="F42" s="208">
        <f>E42*$E$13</f>
        <v>1500</v>
      </c>
      <c r="G42" s="264" t="s">
        <v>137</v>
      </c>
      <c r="H42" s="271" t="str">
        <f>CONCATENATE(E9," Months")</f>
        <v>4 Months</v>
      </c>
      <c r="I42" s="261"/>
      <c r="J42" s="272" t="str">
        <f>CONCATENATE(E9," Months")</f>
        <v>4 Months</v>
      </c>
      <c r="K42" s="244"/>
    </row>
    <row r="43">
      <c r="B43" s="206" t="s">
        <v>32</v>
      </c>
      <c r="E43" s="209">
        <v>0.0025</v>
      </c>
      <c r="F43" s="208">
        <f t="shared" ref="F43:F44" si="5">E43*$E$11</f>
        <v>500</v>
      </c>
      <c r="K43" s="244"/>
    </row>
    <row r="44">
      <c r="B44" s="206" t="s">
        <v>34</v>
      </c>
      <c r="E44" s="209">
        <v>0.03</v>
      </c>
      <c r="F44" s="208">
        <f t="shared" si="5"/>
        <v>6000</v>
      </c>
      <c r="G44" s="247" t="s">
        <v>200</v>
      </c>
      <c r="H44" s="2"/>
      <c r="I44" s="275" t="s">
        <v>201</v>
      </c>
      <c r="J44" s="251" t="s">
        <v>202</v>
      </c>
      <c r="K44" s="244"/>
    </row>
    <row r="45">
      <c r="B45" s="206" t="s">
        <v>35</v>
      </c>
      <c r="E45" s="209">
        <v>1.0E-4</v>
      </c>
      <c r="F45" s="208">
        <f>E45*$E$13</f>
        <v>30</v>
      </c>
      <c r="G45" s="7"/>
      <c r="H45" s="8"/>
      <c r="I45" s="67"/>
      <c r="J45" s="67"/>
      <c r="K45" s="244"/>
    </row>
    <row r="46">
      <c r="B46" s="206" t="s">
        <v>36</v>
      </c>
      <c r="E46" s="229"/>
      <c r="F46" s="280">
        <v>0.0</v>
      </c>
      <c r="G46" s="11" t="s">
        <v>124</v>
      </c>
      <c r="H46" s="254">
        <f>J10+J11</f>
        <v>22966.66667</v>
      </c>
      <c r="I46" s="285">
        <f>-if(min('Up Front Draw Cash Flow'!H6:H41)&lt;0,min('Up Front Draw Cash Flow'!H6:H41),min('Up Front Draw Cash Flow'!H6:H41))</f>
        <v>3246.875</v>
      </c>
      <c r="J46" s="258">
        <f>sum(H46:I46)</f>
        <v>26213.54167</v>
      </c>
      <c r="K46" s="244"/>
    </row>
    <row r="47">
      <c r="B47" s="206" t="s">
        <v>19</v>
      </c>
      <c r="E47" s="229"/>
      <c r="F47" s="280">
        <v>0.0</v>
      </c>
      <c r="G47" s="11" t="s">
        <v>129</v>
      </c>
      <c r="H47" s="254">
        <f>J14</f>
        <v>44453.33333</v>
      </c>
      <c r="I47" s="261"/>
      <c r="J47" s="258">
        <f>H47</f>
        <v>44453.33333</v>
      </c>
      <c r="K47" s="244"/>
    </row>
    <row r="48">
      <c r="B48" s="206" t="s">
        <v>20</v>
      </c>
      <c r="E48" s="229"/>
      <c r="F48" s="280">
        <v>0.0</v>
      </c>
      <c r="G48" s="264" t="s">
        <v>132</v>
      </c>
      <c r="H48" s="266">
        <f>H40/H39</f>
        <v>1.935558781</v>
      </c>
      <c r="I48" s="261"/>
      <c r="J48" s="268">
        <f>J47/J46</f>
        <v>1.695815617</v>
      </c>
      <c r="K48" s="244"/>
    </row>
    <row r="49">
      <c r="B49" s="252" t="s">
        <v>21</v>
      </c>
      <c r="C49" s="25"/>
      <c r="D49" s="25"/>
      <c r="E49" s="288"/>
      <c r="F49" s="290">
        <v>0.0</v>
      </c>
      <c r="G49" s="291" t="s">
        <v>137</v>
      </c>
      <c r="H49" s="293" t="str">
        <f>CONCATENATE(E9," Months")</f>
        <v>4 Months</v>
      </c>
      <c r="I49" s="295"/>
      <c r="J49" s="296" t="str">
        <f>CONCATENATE(E9," Months")</f>
        <v>4 Months</v>
      </c>
      <c r="K49" s="297"/>
    </row>
  </sheetData>
  <mergeCells count="91">
    <mergeCell ref="G21:I21"/>
    <mergeCell ref="G22:I22"/>
    <mergeCell ref="B18:D18"/>
    <mergeCell ref="B19:D19"/>
    <mergeCell ref="G19:I19"/>
    <mergeCell ref="B20:D20"/>
    <mergeCell ref="G20:I20"/>
    <mergeCell ref="B21:D21"/>
    <mergeCell ref="B22:D22"/>
    <mergeCell ref="B23:D23"/>
    <mergeCell ref="G23:I23"/>
    <mergeCell ref="B24:D24"/>
    <mergeCell ref="G24:I24"/>
    <mergeCell ref="B25:D25"/>
    <mergeCell ref="G25:I25"/>
    <mergeCell ref="G26:I26"/>
    <mergeCell ref="B26:D26"/>
    <mergeCell ref="B27:D27"/>
    <mergeCell ref="B28:D28"/>
    <mergeCell ref="G28:I28"/>
    <mergeCell ref="B29:D29"/>
    <mergeCell ref="G29:I29"/>
    <mergeCell ref="G30:H30"/>
    <mergeCell ref="G31:H31"/>
    <mergeCell ref="G35:K35"/>
    <mergeCell ref="G36:J36"/>
    <mergeCell ref="B30:D30"/>
    <mergeCell ref="B31:D31"/>
    <mergeCell ref="B32:D33"/>
    <mergeCell ref="E32:F33"/>
    <mergeCell ref="G32:I33"/>
    <mergeCell ref="J32:K33"/>
    <mergeCell ref="B35:F35"/>
    <mergeCell ref="B37:D37"/>
    <mergeCell ref="G37:H38"/>
    <mergeCell ref="I37:I38"/>
    <mergeCell ref="J37:J38"/>
    <mergeCell ref="B38:D38"/>
    <mergeCell ref="B39:D39"/>
    <mergeCell ref="B40:F40"/>
    <mergeCell ref="B45:D45"/>
    <mergeCell ref="B46:D46"/>
    <mergeCell ref="B47:D47"/>
    <mergeCell ref="B48:D48"/>
    <mergeCell ref="B49:D49"/>
    <mergeCell ref="B41:D41"/>
    <mergeCell ref="B42:D42"/>
    <mergeCell ref="B43:D43"/>
    <mergeCell ref="B44:D44"/>
    <mergeCell ref="G44:H45"/>
    <mergeCell ref="I44:I45"/>
    <mergeCell ref="J44:J45"/>
    <mergeCell ref="B2:K2"/>
    <mergeCell ref="B3:D3"/>
    <mergeCell ref="E3:K3"/>
    <mergeCell ref="B4:D4"/>
    <mergeCell ref="E4:K4"/>
    <mergeCell ref="B5:D5"/>
    <mergeCell ref="E5:K5"/>
    <mergeCell ref="B6:D6"/>
    <mergeCell ref="E6:K6"/>
    <mergeCell ref="B8:F8"/>
    <mergeCell ref="G8:K8"/>
    <mergeCell ref="B9:D9"/>
    <mergeCell ref="E9:F9"/>
    <mergeCell ref="G9:H9"/>
    <mergeCell ref="G11:I11"/>
    <mergeCell ref="J11:K11"/>
    <mergeCell ref="B10:D10"/>
    <mergeCell ref="E10:F10"/>
    <mergeCell ref="G10:I10"/>
    <mergeCell ref="J10:K10"/>
    <mergeCell ref="M10:N10"/>
    <mergeCell ref="B11:D11"/>
    <mergeCell ref="E11:F11"/>
    <mergeCell ref="B12:D12"/>
    <mergeCell ref="E12:F12"/>
    <mergeCell ref="G12:I12"/>
    <mergeCell ref="J12:K12"/>
    <mergeCell ref="E13:F13"/>
    <mergeCell ref="G13:I13"/>
    <mergeCell ref="J13:K13"/>
    <mergeCell ref="B13:D13"/>
    <mergeCell ref="B14:D15"/>
    <mergeCell ref="E14:F15"/>
    <mergeCell ref="G14:I15"/>
    <mergeCell ref="J14:K15"/>
    <mergeCell ref="B17:F17"/>
    <mergeCell ref="G17:K17"/>
    <mergeCell ref="G27:I27"/>
    <mergeCell ref="J27:K27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4.57"/>
    <col customWidth="1" min="5" max="5" width="6.29"/>
    <col customWidth="1" min="7" max="7" width="36.14"/>
    <col customWidth="1" min="8" max="8" width="21.14"/>
    <col customWidth="1" min="9" max="9" width="18.29"/>
    <col customWidth="1" min="10" max="10" width="2.57"/>
    <col customWidth="1" min="11" max="11" width="22.0"/>
    <col customWidth="1" min="12" max="12" width="19.0"/>
    <col customWidth="1" min="13" max="13" width="14.0"/>
    <col customWidth="1" min="14" max="14" width="16.14"/>
    <col customWidth="1" min="15" max="15" width="15.29"/>
    <col customWidth="1" min="16" max="16" width="16.86"/>
    <col customWidth="1" min="17" max="17" width="12.29"/>
    <col customWidth="1" min="18" max="18" width="11.86"/>
    <col customWidth="1" min="19" max="19" width="12.0"/>
    <col customWidth="1" min="20" max="20" width="9.29"/>
    <col customWidth="1" min="21" max="21" width="12.57"/>
    <col customWidth="1" min="22" max="22" width="10.86"/>
    <col customWidth="1" min="23" max="23" width="15.43"/>
    <col customWidth="1" min="24" max="24" width="12.0"/>
    <col customWidth="1" min="25" max="25" width="10.71"/>
    <col customWidth="1" min="26" max="26" width="15.86"/>
    <col customWidth="1" min="27" max="27" width="13.0"/>
    <col customWidth="1" min="28" max="29" width="12.14"/>
    <col customWidth="1" min="30" max="30" width="16.43"/>
    <col customWidth="1" min="31" max="31" width="12.57"/>
    <col customWidth="1" min="32" max="32" width="11.29"/>
    <col customWidth="1" min="33" max="33" width="10.57"/>
    <col customWidth="1" min="34" max="34" width="15.71"/>
  </cols>
  <sheetData>
    <row r="1" ht="57.75" customHeight="1">
      <c r="A1" s="3" t="s">
        <v>5</v>
      </c>
      <c r="B1" s="4"/>
      <c r="C1" s="4"/>
      <c r="D1" s="4"/>
      <c r="E1" s="4"/>
      <c r="F1" s="4"/>
      <c r="G1" s="4"/>
      <c r="H1" s="4"/>
      <c r="I1" s="4"/>
      <c r="J1" s="6"/>
      <c r="K1" s="9" t="s">
        <v>3</v>
      </c>
      <c r="L1" s="10" t="s">
        <v>4</v>
      </c>
      <c r="M1" s="10" t="s">
        <v>7</v>
      </c>
      <c r="N1" s="12" t="s">
        <v>8</v>
      </c>
      <c r="O1" s="12" t="s">
        <v>9</v>
      </c>
      <c r="P1" s="12" t="s">
        <v>10</v>
      </c>
      <c r="Q1" s="13" t="s">
        <v>11</v>
      </c>
      <c r="R1" s="13" t="s">
        <v>12</v>
      </c>
      <c r="S1" s="13" t="s">
        <v>13</v>
      </c>
      <c r="T1" s="14" t="s">
        <v>14</v>
      </c>
      <c r="U1" s="15"/>
      <c r="V1" s="15"/>
      <c r="W1" s="17"/>
      <c r="X1" s="30" t="s">
        <v>16</v>
      </c>
      <c r="Y1" s="19"/>
      <c r="Z1" s="20"/>
      <c r="AA1" s="30" t="s">
        <v>17</v>
      </c>
      <c r="AB1" s="19"/>
      <c r="AC1" s="19"/>
      <c r="AD1" s="19"/>
      <c r="AE1" s="20"/>
      <c r="AF1" s="13" t="s">
        <v>19</v>
      </c>
      <c r="AG1" s="13" t="s">
        <v>20</v>
      </c>
      <c r="AH1" s="13" t="s">
        <v>21</v>
      </c>
    </row>
    <row r="2">
      <c r="A2" s="24" t="s">
        <v>41</v>
      </c>
      <c r="B2" s="25"/>
      <c r="C2" s="25"/>
      <c r="D2" s="25"/>
      <c r="E2" s="25"/>
      <c r="F2" s="25"/>
      <c r="G2" s="25"/>
      <c r="H2" s="25"/>
      <c r="I2" s="25"/>
      <c r="J2" s="26"/>
      <c r="K2" s="27"/>
      <c r="L2" s="27"/>
      <c r="M2" s="27"/>
      <c r="N2" s="27"/>
      <c r="O2" s="27"/>
      <c r="P2" s="27"/>
      <c r="Q2" s="27"/>
      <c r="R2" s="27"/>
      <c r="S2" s="27"/>
      <c r="T2" s="29" t="s">
        <v>24</v>
      </c>
      <c r="U2" s="29" t="s">
        <v>25</v>
      </c>
      <c r="V2" s="29" t="s">
        <v>26</v>
      </c>
      <c r="W2" s="29" t="s">
        <v>27</v>
      </c>
      <c r="X2" s="29" t="s">
        <v>28</v>
      </c>
      <c r="Y2" s="29" t="s">
        <v>30</v>
      </c>
      <c r="Z2" s="29" t="s">
        <v>31</v>
      </c>
      <c r="AA2" s="29" t="s">
        <v>28</v>
      </c>
      <c r="AB2" s="29" t="s">
        <v>32</v>
      </c>
      <c r="AC2" s="29" t="s">
        <v>34</v>
      </c>
      <c r="AD2" s="29" t="s">
        <v>35</v>
      </c>
      <c r="AE2" s="29" t="s">
        <v>36</v>
      </c>
      <c r="AF2" s="27"/>
      <c r="AG2" s="27"/>
      <c r="AH2" s="27"/>
    </row>
    <row r="3">
      <c r="A3" s="33"/>
      <c r="B3" s="34" t="s">
        <v>39</v>
      </c>
      <c r="C3" s="36">
        <f>sum(D6:D43)</f>
        <v>300000</v>
      </c>
      <c r="D3" s="4"/>
      <c r="E3" s="38"/>
      <c r="F3" s="39" t="s">
        <v>44</v>
      </c>
      <c r="G3" s="41" t="s">
        <v>45</v>
      </c>
      <c r="H3" s="43">
        <f>'Aquisitions Deal Analyzer'!H39</f>
        <v>22966.66667</v>
      </c>
      <c r="I3" s="44" t="s">
        <v>49</v>
      </c>
      <c r="J3" s="45"/>
      <c r="K3" s="46" t="s">
        <v>50</v>
      </c>
      <c r="L3" s="47">
        <f>'Aquisitions Deal Analyzer'!E12</f>
        <v>20050</v>
      </c>
      <c r="M3" s="47">
        <f>'Aquisitions Deal Analyzer'!E11</f>
        <v>200000</v>
      </c>
      <c r="N3" s="47">
        <f>'Aquisitions Deal Analyzer'!F20</f>
        <v>6000</v>
      </c>
      <c r="O3" s="47">
        <f>'Aquisitions Deal Analyzer'!F21</f>
        <v>0</v>
      </c>
      <c r="P3" s="47">
        <f>'Aquisitions Deal Analyzer'!F22</f>
        <v>9333.333333</v>
      </c>
      <c r="Q3" s="47">
        <f>'Aquisitions Deal Analyzer'!K19</f>
        <v>5833.333333</v>
      </c>
      <c r="R3" s="47">
        <f>'Aquisitions Deal Analyzer'!K20</f>
        <v>0</v>
      </c>
      <c r="S3" s="47">
        <f>'Aquisitions Deal Analyzer'!K21</f>
        <v>400</v>
      </c>
      <c r="T3" s="47">
        <f>'Aquisitions Deal Analyzer'!K23</f>
        <v>600</v>
      </c>
      <c r="U3" s="47">
        <f>'Aquisitions Deal Analyzer'!K24</f>
        <v>400</v>
      </c>
      <c r="V3" s="47">
        <f>'Aquisitions Deal Analyzer'!K25</f>
        <v>400</v>
      </c>
      <c r="W3" s="47">
        <f>'Aquisitions Deal Analyzer'!K26</f>
        <v>0</v>
      </c>
      <c r="X3" s="47">
        <f>'Aquisitions Deal Analyzer'!F37</f>
        <v>1500</v>
      </c>
      <c r="Y3" s="47">
        <f>'Aquisitions Deal Analyzer'!F38</f>
        <v>3000</v>
      </c>
      <c r="Z3" s="47">
        <f>'Aquisitions Deal Analyzer'!F39</f>
        <v>0</v>
      </c>
      <c r="AA3" s="47">
        <f>'Aquisitions Deal Analyzer'!F42</f>
        <v>1500</v>
      </c>
      <c r="AB3" s="47">
        <f>'Aquisitions Deal Analyzer'!F43</f>
        <v>500</v>
      </c>
      <c r="AC3" s="47">
        <f>'Aquisitions Deal Analyzer'!F44</f>
        <v>6000</v>
      </c>
      <c r="AD3" s="47">
        <f>'Aquisitions Deal Analyzer'!F45</f>
        <v>30</v>
      </c>
      <c r="AE3" s="47">
        <f>'Aquisitions Deal Analyzer'!F46</f>
        <v>0</v>
      </c>
      <c r="AF3" s="47">
        <f>'Aquisitions Deal Analyzer'!F47</f>
        <v>0</v>
      </c>
      <c r="AG3" s="47">
        <f>'Aquisitions Deal Analyzer'!F48</f>
        <v>0</v>
      </c>
      <c r="AH3" s="47">
        <f>'Aquisitions Deal Analyzer'!F49</f>
        <v>0</v>
      </c>
    </row>
    <row r="4">
      <c r="A4" s="64"/>
      <c r="F4" s="66">
        <f>'Aquisitions Deal Analyzer'!E9*4</f>
        <v>16</v>
      </c>
      <c r="G4" s="8"/>
      <c r="H4" s="67"/>
      <c r="I4" s="70">
        <f>sum(I6:I41)</f>
        <v>255546.6667</v>
      </c>
      <c r="J4" s="71"/>
      <c r="K4" s="46" t="s">
        <v>61</v>
      </c>
      <c r="L4" s="72" t="s">
        <v>62</v>
      </c>
      <c r="M4" s="72" t="s">
        <v>63</v>
      </c>
      <c r="N4" s="73" t="s">
        <v>63</v>
      </c>
      <c r="O4" s="72" t="s">
        <v>64</v>
      </c>
      <c r="P4" s="72" t="s">
        <v>64</v>
      </c>
      <c r="Q4" s="72" t="s">
        <v>63</v>
      </c>
      <c r="R4" s="72" t="s">
        <v>63</v>
      </c>
      <c r="S4" s="72" t="s">
        <v>64</v>
      </c>
      <c r="T4" s="72" t="s">
        <v>64</v>
      </c>
      <c r="U4" s="72" t="s">
        <v>64</v>
      </c>
      <c r="V4" s="72" t="s">
        <v>64</v>
      </c>
      <c r="W4" s="72" t="s">
        <v>64</v>
      </c>
      <c r="X4" s="72" t="s">
        <v>63</v>
      </c>
      <c r="Y4" s="72" t="s">
        <v>63</v>
      </c>
      <c r="Z4" s="72" t="s">
        <v>63</v>
      </c>
      <c r="AA4" s="72" t="s">
        <v>63</v>
      </c>
      <c r="AB4" s="72" t="s">
        <v>63</v>
      </c>
      <c r="AC4" s="72" t="s">
        <v>63</v>
      </c>
      <c r="AD4" s="72" t="s">
        <v>63</v>
      </c>
      <c r="AE4" s="72" t="s">
        <v>63</v>
      </c>
      <c r="AF4" s="72" t="s">
        <v>63</v>
      </c>
      <c r="AG4" s="72" t="s">
        <v>63</v>
      </c>
      <c r="AH4" s="72" t="s">
        <v>63</v>
      </c>
    </row>
    <row r="5">
      <c r="A5" s="64"/>
      <c r="B5" s="75" t="s">
        <v>65</v>
      </c>
      <c r="C5" s="76" t="s">
        <v>67</v>
      </c>
      <c r="D5" s="77" t="s">
        <v>68</v>
      </c>
      <c r="E5" s="78"/>
      <c r="F5" s="79" t="s">
        <v>67</v>
      </c>
      <c r="G5" s="79" t="s">
        <v>69</v>
      </c>
      <c r="H5" s="80" t="s">
        <v>70</v>
      </c>
      <c r="I5" s="79" t="s">
        <v>71</v>
      </c>
      <c r="J5" s="71"/>
      <c r="K5" s="81" t="s">
        <v>67</v>
      </c>
      <c r="L5" s="78"/>
      <c r="M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>
      <c r="A6" s="64"/>
      <c r="B6" s="82" t="s">
        <v>72</v>
      </c>
      <c r="C6" s="83">
        <v>1.0</v>
      </c>
      <c r="D6" s="84">
        <f>'Aquisitions Deal Analyzer'!E11</f>
        <v>200000</v>
      </c>
      <c r="E6" s="78"/>
      <c r="F6" s="79">
        <v>1.0</v>
      </c>
      <c r="G6" s="85">
        <f t="shared" ref="G6:G41" si="5">sumif($C$6:$C44,F6,$D$6:$D44)</f>
        <v>200000</v>
      </c>
      <c r="H6" s="86">
        <f>H4+H3-I6+G6</f>
        <v>2596.875</v>
      </c>
      <c r="I6" s="88">
        <f t="shared" ref="I6:I41" si="6">sum(L6:AH6)</f>
        <v>220369.7917</v>
      </c>
      <c r="J6" s="71"/>
      <c r="K6" s="89">
        <v>1.0</v>
      </c>
      <c r="L6" s="90">
        <f>L3/(F4)</f>
        <v>1253.125</v>
      </c>
      <c r="M6" s="90">
        <f t="shared" ref="M6:N6" si="1">M3</f>
        <v>200000</v>
      </c>
      <c r="N6" s="93">
        <f t="shared" si="1"/>
        <v>6000</v>
      </c>
      <c r="O6" s="90">
        <f>O3/('Aquisitions Deal Analyzer'!$E$9)</f>
        <v>0</v>
      </c>
      <c r="P6" s="90">
        <f>P3/('Aquisitions Deal Analyzer'!$E$9)</f>
        <v>2333.333333</v>
      </c>
      <c r="Q6" s="90">
        <f t="shared" ref="Q6:R6" si="2">Q3</f>
        <v>5833.333333</v>
      </c>
      <c r="R6" s="90">
        <f t="shared" si="2"/>
        <v>0</v>
      </c>
      <c r="S6" s="90">
        <f>S3/('Aquisitions Deal Analyzer'!$E$9)</f>
        <v>100</v>
      </c>
      <c r="T6" s="90">
        <f>T3/('Aquisitions Deal Analyzer'!$E$9)</f>
        <v>150</v>
      </c>
      <c r="U6" s="90">
        <f>U3/('Aquisitions Deal Analyzer'!$E$9)</f>
        <v>100</v>
      </c>
      <c r="V6" s="90">
        <f>V3/('Aquisitions Deal Analyzer'!$E$9)</f>
        <v>100</v>
      </c>
      <c r="W6" s="90">
        <f>W3/('Aquisitions Deal Analyzer'!$E$9)</f>
        <v>0</v>
      </c>
      <c r="X6" s="90">
        <f t="shared" ref="X6:Z6" si="3">X3</f>
        <v>1500</v>
      </c>
      <c r="Y6" s="90">
        <f t="shared" si="3"/>
        <v>3000</v>
      </c>
      <c r="Z6" s="90">
        <f t="shared" si="3"/>
        <v>0</v>
      </c>
      <c r="AA6" s="100">
        <f t="shared" ref="AA6:AH6" si="4">if($K6=$F$4,AA$3,0)</f>
        <v>0</v>
      </c>
      <c r="AB6" s="100">
        <f t="shared" si="4"/>
        <v>0</v>
      </c>
      <c r="AC6" s="100">
        <f t="shared" si="4"/>
        <v>0</v>
      </c>
      <c r="AD6" s="100">
        <f t="shared" si="4"/>
        <v>0</v>
      </c>
      <c r="AE6" s="100">
        <f t="shared" si="4"/>
        <v>0</v>
      </c>
      <c r="AF6" s="100">
        <f t="shared" si="4"/>
        <v>0</v>
      </c>
      <c r="AG6" s="100">
        <f t="shared" si="4"/>
        <v>0</v>
      </c>
      <c r="AH6" s="100">
        <f t="shared" si="4"/>
        <v>0</v>
      </c>
    </row>
    <row r="7">
      <c r="A7" s="64"/>
      <c r="B7" s="82" t="s">
        <v>106</v>
      </c>
      <c r="C7" s="83">
        <f>F4*E7</f>
        <v>4</v>
      </c>
      <c r="D7" s="84">
        <f>'Aquisitions Deal Analyzer'!$E$12/3</f>
        <v>6683.333333</v>
      </c>
      <c r="E7" s="103">
        <v>0.25</v>
      </c>
      <c r="F7" s="79">
        <v>2.0</v>
      </c>
      <c r="G7" s="85">
        <f t="shared" si="5"/>
        <v>0</v>
      </c>
      <c r="H7" s="86">
        <f t="shared" ref="H7:H41" si="8">H6-I7+G7</f>
        <v>1343.75</v>
      </c>
      <c r="I7" s="88">
        <f t="shared" si="6"/>
        <v>1253.125</v>
      </c>
      <c r="J7" s="71"/>
      <c r="K7" s="89">
        <v>2.0</v>
      </c>
      <c r="L7" s="116">
        <f>if((L3-L6)&gt;0.1,L6,0)</f>
        <v>1253.125</v>
      </c>
      <c r="M7" s="117"/>
      <c r="N7" s="120"/>
      <c r="O7" s="117">
        <v>0.0</v>
      </c>
      <c r="P7" s="117">
        <v>0.0</v>
      </c>
      <c r="Q7" s="117"/>
      <c r="R7" s="117"/>
      <c r="S7" s="117">
        <v>0.0</v>
      </c>
      <c r="T7" s="117">
        <v>0.0</v>
      </c>
      <c r="U7" s="117">
        <v>0.0</v>
      </c>
      <c r="V7" s="117">
        <v>0.0</v>
      </c>
      <c r="W7" s="117">
        <v>0.0</v>
      </c>
      <c r="X7" s="117"/>
      <c r="Y7" s="117"/>
      <c r="Z7" s="117"/>
      <c r="AA7" s="100">
        <f t="shared" ref="AA7:AH7" si="7">if($K7=$F$4,AA$3,0)</f>
        <v>0</v>
      </c>
      <c r="AB7" s="100">
        <f t="shared" si="7"/>
        <v>0</v>
      </c>
      <c r="AC7" s="100">
        <f t="shared" si="7"/>
        <v>0</v>
      </c>
      <c r="AD7" s="100">
        <f t="shared" si="7"/>
        <v>0</v>
      </c>
      <c r="AE7" s="100">
        <f t="shared" si="7"/>
        <v>0</v>
      </c>
      <c r="AF7" s="100">
        <f t="shared" si="7"/>
        <v>0</v>
      </c>
      <c r="AG7" s="100">
        <f t="shared" si="7"/>
        <v>0</v>
      </c>
      <c r="AH7" s="100">
        <f t="shared" si="7"/>
        <v>0</v>
      </c>
    </row>
    <row r="8">
      <c r="A8" s="64"/>
      <c r="B8" s="82" t="s">
        <v>117</v>
      </c>
      <c r="C8" s="83">
        <f>F4*E8</f>
        <v>8</v>
      </c>
      <c r="D8" s="84">
        <f>'Aquisitions Deal Analyzer'!$E$12/3</f>
        <v>6683.333333</v>
      </c>
      <c r="E8" s="103">
        <v>0.5</v>
      </c>
      <c r="F8" s="79">
        <v>3.0</v>
      </c>
      <c r="G8" s="85">
        <f t="shared" si="5"/>
        <v>0</v>
      </c>
      <c r="H8" s="86">
        <f t="shared" si="8"/>
        <v>90.625</v>
      </c>
      <c r="I8" s="88">
        <f t="shared" si="6"/>
        <v>1253.125</v>
      </c>
      <c r="J8" s="71"/>
      <c r="K8" s="89">
        <v>3.0</v>
      </c>
      <c r="L8" s="116">
        <f>if((L3-L6-L7)&gt;0.1,L7,0)</f>
        <v>1253.125</v>
      </c>
      <c r="M8" s="117"/>
      <c r="N8" s="120"/>
      <c r="O8" s="117">
        <v>0.0</v>
      </c>
      <c r="P8" s="117">
        <v>0.0</v>
      </c>
      <c r="Q8" s="117"/>
      <c r="R8" s="117"/>
      <c r="S8" s="117">
        <v>0.0</v>
      </c>
      <c r="T8" s="117">
        <v>0.0</v>
      </c>
      <c r="U8" s="117">
        <v>0.0</v>
      </c>
      <c r="V8" s="117">
        <v>0.0</v>
      </c>
      <c r="W8" s="117">
        <v>0.0</v>
      </c>
      <c r="X8" s="117"/>
      <c r="Y8" s="117"/>
      <c r="Z8" s="117"/>
      <c r="AA8" s="100">
        <f t="shared" ref="AA8:AH8" si="9">if($K8=$F$4,AA$3,0)</f>
        <v>0</v>
      </c>
      <c r="AB8" s="100">
        <f t="shared" si="9"/>
        <v>0</v>
      </c>
      <c r="AC8" s="100">
        <f t="shared" si="9"/>
        <v>0</v>
      </c>
      <c r="AD8" s="100">
        <f t="shared" si="9"/>
        <v>0</v>
      </c>
      <c r="AE8" s="100">
        <f t="shared" si="9"/>
        <v>0</v>
      </c>
      <c r="AF8" s="100">
        <f t="shared" si="9"/>
        <v>0</v>
      </c>
      <c r="AG8" s="100">
        <f t="shared" si="9"/>
        <v>0</v>
      </c>
      <c r="AH8" s="100">
        <f t="shared" si="9"/>
        <v>0</v>
      </c>
    </row>
    <row r="9">
      <c r="A9" s="64"/>
      <c r="B9" s="82" t="s">
        <v>125</v>
      </c>
      <c r="C9" s="83">
        <f>F4*E9</f>
        <v>12</v>
      </c>
      <c r="D9" s="84">
        <f>'Aquisitions Deal Analyzer'!$E$12/3</f>
        <v>6683.333333</v>
      </c>
      <c r="E9" s="103">
        <v>0.75</v>
      </c>
      <c r="F9" s="79">
        <v>4.0</v>
      </c>
      <c r="G9" s="85">
        <f t="shared" si="5"/>
        <v>6683.333333</v>
      </c>
      <c r="H9" s="86">
        <f t="shared" si="8"/>
        <v>5520.833333</v>
      </c>
      <c r="I9" s="88">
        <f t="shared" si="6"/>
        <v>1253.125</v>
      </c>
      <c r="J9" s="71"/>
      <c r="K9" s="89">
        <v>4.0</v>
      </c>
      <c r="L9" s="116">
        <f>if((L3-L6-L7-L8)&gt;0.1,L8,0)</f>
        <v>1253.125</v>
      </c>
      <c r="M9" s="117"/>
      <c r="N9" s="120"/>
      <c r="O9" s="117">
        <v>0.0</v>
      </c>
      <c r="P9" s="117">
        <v>0.0</v>
      </c>
      <c r="Q9" s="117"/>
      <c r="R9" s="117"/>
      <c r="S9" s="117">
        <v>0.0</v>
      </c>
      <c r="T9" s="117">
        <v>0.0</v>
      </c>
      <c r="U9" s="117">
        <v>0.0</v>
      </c>
      <c r="V9" s="117">
        <v>0.0</v>
      </c>
      <c r="W9" s="117">
        <v>0.0</v>
      </c>
      <c r="X9" s="117"/>
      <c r="Y9" s="117"/>
      <c r="Z9" s="117"/>
      <c r="AA9" s="100">
        <f t="shared" ref="AA9:AH9" si="10">if($K9=$F$4,AA$3,0)</f>
        <v>0</v>
      </c>
      <c r="AB9" s="100">
        <f t="shared" si="10"/>
        <v>0</v>
      </c>
      <c r="AC9" s="100">
        <f t="shared" si="10"/>
        <v>0</v>
      </c>
      <c r="AD9" s="100">
        <f t="shared" si="10"/>
        <v>0</v>
      </c>
      <c r="AE9" s="100">
        <f t="shared" si="10"/>
        <v>0</v>
      </c>
      <c r="AF9" s="100">
        <f t="shared" si="10"/>
        <v>0</v>
      </c>
      <c r="AG9" s="100">
        <f t="shared" si="10"/>
        <v>0</v>
      </c>
      <c r="AH9" s="100">
        <f t="shared" si="10"/>
        <v>0</v>
      </c>
    </row>
    <row r="10">
      <c r="A10" s="64"/>
      <c r="B10" s="82" t="s">
        <v>108</v>
      </c>
      <c r="C10" s="83">
        <f>F4</f>
        <v>16</v>
      </c>
      <c r="D10" s="84">
        <f>'Aquisitions Deal Analyzer'!E13</f>
        <v>300000</v>
      </c>
      <c r="E10" s="78"/>
      <c r="F10" s="79">
        <v>5.0</v>
      </c>
      <c r="G10" s="85">
        <f t="shared" si="5"/>
        <v>0</v>
      </c>
      <c r="H10" s="86">
        <f t="shared" si="8"/>
        <v>1484.375</v>
      </c>
      <c r="I10" s="88">
        <f t="shared" si="6"/>
        <v>4036.458333</v>
      </c>
      <c r="J10" s="71"/>
      <c r="K10" s="89">
        <v>5.0</v>
      </c>
      <c r="L10" s="90">
        <f>if((L3-L6-L7-L8-L9)&gt;0.1,L9,0)</f>
        <v>1253.125</v>
      </c>
      <c r="M10" s="100"/>
      <c r="N10" s="100"/>
      <c r="O10" s="100">
        <f t="shared" ref="O10:P10" si="11">if((O3-O6)&gt;0.1,O6,0)</f>
        <v>0</v>
      </c>
      <c r="P10" s="90">
        <f t="shared" si="11"/>
        <v>2333.333333</v>
      </c>
      <c r="Q10" s="100"/>
      <c r="R10" s="100"/>
      <c r="S10" s="90">
        <f t="shared" ref="S10:W10" si="12">if((S3-S6)&gt;0.1,S6,0)</f>
        <v>100</v>
      </c>
      <c r="T10" s="90">
        <f t="shared" si="12"/>
        <v>150</v>
      </c>
      <c r="U10" s="90">
        <f t="shared" si="12"/>
        <v>100</v>
      </c>
      <c r="V10" s="90">
        <f t="shared" si="12"/>
        <v>100</v>
      </c>
      <c r="W10" s="100">
        <f t="shared" si="12"/>
        <v>0</v>
      </c>
      <c r="X10" s="100"/>
      <c r="Y10" s="100"/>
      <c r="Z10" s="100"/>
      <c r="AA10" s="100">
        <f t="shared" ref="AA10:AH10" si="13">if($K10=$F$4,AA$3,0)</f>
        <v>0</v>
      </c>
      <c r="AB10" s="100">
        <f t="shared" si="13"/>
        <v>0</v>
      </c>
      <c r="AC10" s="100">
        <f t="shared" si="13"/>
        <v>0</v>
      </c>
      <c r="AD10" s="100">
        <f t="shared" si="13"/>
        <v>0</v>
      </c>
      <c r="AE10" s="100">
        <f t="shared" si="13"/>
        <v>0</v>
      </c>
      <c r="AF10" s="100">
        <f t="shared" si="13"/>
        <v>0</v>
      </c>
      <c r="AG10" s="100">
        <f t="shared" si="13"/>
        <v>0</v>
      </c>
      <c r="AH10" s="100">
        <f t="shared" si="13"/>
        <v>0</v>
      </c>
    </row>
    <row r="11">
      <c r="A11" s="64"/>
      <c r="B11" s="82" t="s">
        <v>121</v>
      </c>
      <c r="C11" s="83">
        <f>F4</f>
        <v>16</v>
      </c>
      <c r="D11" s="84">
        <f>-'Aquisitions Deal Analyzer'!E11</f>
        <v>-200000</v>
      </c>
      <c r="E11" s="78"/>
      <c r="F11" s="79">
        <v>6.0</v>
      </c>
      <c r="G11" s="85">
        <f t="shared" si="5"/>
        <v>0</v>
      </c>
      <c r="H11" s="86">
        <f t="shared" si="8"/>
        <v>231.25</v>
      </c>
      <c r="I11" s="88">
        <f t="shared" si="6"/>
        <v>1253.125</v>
      </c>
      <c r="J11" s="71"/>
      <c r="K11" s="89">
        <v>6.0</v>
      </c>
      <c r="L11" s="116">
        <f>if((L3-L6-L7-L8-L9-L10)&gt;0.1,L10,0)</f>
        <v>1253.125</v>
      </c>
      <c r="M11" s="117"/>
      <c r="N11" s="100"/>
      <c r="O11" s="117">
        <v>0.0</v>
      </c>
      <c r="P11" s="117">
        <v>0.0</v>
      </c>
      <c r="Q11" s="117"/>
      <c r="R11" s="117"/>
      <c r="S11" s="117">
        <v>0.0</v>
      </c>
      <c r="T11" s="117">
        <v>0.0</v>
      </c>
      <c r="U11" s="117">
        <v>0.0</v>
      </c>
      <c r="V11" s="117">
        <v>0.0</v>
      </c>
      <c r="W11" s="117">
        <v>0.0</v>
      </c>
      <c r="X11" s="117"/>
      <c r="Y11" s="117"/>
      <c r="Z11" s="117"/>
      <c r="AA11" s="100">
        <f t="shared" ref="AA11:AH11" si="14">if($K11=$F$4,AA$3,0)</f>
        <v>0</v>
      </c>
      <c r="AB11" s="100">
        <f t="shared" si="14"/>
        <v>0</v>
      </c>
      <c r="AC11" s="100">
        <f t="shared" si="14"/>
        <v>0</v>
      </c>
      <c r="AD11" s="100">
        <f t="shared" si="14"/>
        <v>0</v>
      </c>
      <c r="AE11" s="100">
        <f t="shared" si="14"/>
        <v>0</v>
      </c>
      <c r="AF11" s="100">
        <f t="shared" si="14"/>
        <v>0</v>
      </c>
      <c r="AG11" s="100">
        <f t="shared" si="14"/>
        <v>0</v>
      </c>
      <c r="AH11" s="100">
        <f t="shared" si="14"/>
        <v>0</v>
      </c>
    </row>
    <row r="12">
      <c r="A12" s="64"/>
      <c r="B12" s="82" t="s">
        <v>128</v>
      </c>
      <c r="C12" s="83">
        <f>F4</f>
        <v>16</v>
      </c>
      <c r="D12" s="84">
        <f>-'Aquisitions Deal Analyzer'!E12</f>
        <v>-20050</v>
      </c>
      <c r="E12" s="78"/>
      <c r="F12" s="79">
        <v>7.0</v>
      </c>
      <c r="G12" s="85">
        <f t="shared" si="5"/>
        <v>0</v>
      </c>
      <c r="H12" s="86">
        <f t="shared" si="8"/>
        <v>-1021.875</v>
      </c>
      <c r="I12" s="88">
        <f t="shared" si="6"/>
        <v>1253.125</v>
      </c>
      <c r="J12" s="71"/>
      <c r="K12" s="89">
        <v>7.0</v>
      </c>
      <c r="L12" s="116">
        <f>if((L3-L6-L7-L8-L9-L10-L11)&gt;0.1,L11,0)</f>
        <v>1253.125</v>
      </c>
      <c r="M12" s="117"/>
      <c r="N12" s="100"/>
      <c r="O12" s="117">
        <v>0.0</v>
      </c>
      <c r="P12" s="117">
        <v>0.0</v>
      </c>
      <c r="Q12" s="117"/>
      <c r="R12" s="117"/>
      <c r="S12" s="117">
        <v>0.0</v>
      </c>
      <c r="T12" s="117">
        <v>0.0</v>
      </c>
      <c r="U12" s="117">
        <v>0.0</v>
      </c>
      <c r="V12" s="117">
        <v>0.0</v>
      </c>
      <c r="W12" s="117">
        <v>0.0</v>
      </c>
      <c r="X12" s="117"/>
      <c r="Y12" s="117"/>
      <c r="Z12" s="117"/>
      <c r="AA12" s="100">
        <f t="shared" ref="AA12:AH12" si="15">if($K12=$F$4,AA$3,0)</f>
        <v>0</v>
      </c>
      <c r="AB12" s="100">
        <f t="shared" si="15"/>
        <v>0</v>
      </c>
      <c r="AC12" s="100">
        <f t="shared" si="15"/>
        <v>0</v>
      </c>
      <c r="AD12" s="100">
        <f t="shared" si="15"/>
        <v>0</v>
      </c>
      <c r="AE12" s="100">
        <f t="shared" si="15"/>
        <v>0</v>
      </c>
      <c r="AF12" s="100">
        <f t="shared" si="15"/>
        <v>0</v>
      </c>
      <c r="AG12" s="100">
        <f t="shared" si="15"/>
        <v>0</v>
      </c>
      <c r="AH12" s="100">
        <f t="shared" si="15"/>
        <v>0</v>
      </c>
    </row>
    <row r="13">
      <c r="A13" s="64"/>
      <c r="B13" s="82" t="s">
        <v>138</v>
      </c>
      <c r="C13" s="188"/>
      <c r="D13" s="189"/>
      <c r="E13" s="78"/>
      <c r="F13" s="79">
        <v>8.0</v>
      </c>
      <c r="G13" s="85">
        <f t="shared" si="5"/>
        <v>6683.333333</v>
      </c>
      <c r="H13" s="86">
        <f t="shared" si="8"/>
        <v>4408.333333</v>
      </c>
      <c r="I13" s="88">
        <f t="shared" si="6"/>
        <v>1253.125</v>
      </c>
      <c r="J13" s="71"/>
      <c r="K13" s="89">
        <v>8.0</v>
      </c>
      <c r="L13" s="116">
        <f>if((L3-L6-L7-L8-L9-L10-L11-L12)&gt;0.1,L12,0)</f>
        <v>1253.125</v>
      </c>
      <c r="M13" s="117"/>
      <c r="N13" s="100"/>
      <c r="O13" s="117">
        <v>0.0</v>
      </c>
      <c r="P13" s="117">
        <v>0.0</v>
      </c>
      <c r="Q13" s="117"/>
      <c r="R13" s="117"/>
      <c r="S13" s="117">
        <v>0.0</v>
      </c>
      <c r="T13" s="117">
        <v>0.0</v>
      </c>
      <c r="U13" s="117">
        <v>0.0</v>
      </c>
      <c r="V13" s="117">
        <v>0.0</v>
      </c>
      <c r="W13" s="117">
        <v>0.0</v>
      </c>
      <c r="X13" s="117"/>
      <c r="Y13" s="117"/>
      <c r="Z13" s="117"/>
      <c r="AA13" s="100">
        <f t="shared" ref="AA13:AH13" si="16">if($K13=$F$4,AA$3,0)</f>
        <v>0</v>
      </c>
      <c r="AB13" s="100">
        <f t="shared" si="16"/>
        <v>0</v>
      </c>
      <c r="AC13" s="100">
        <f t="shared" si="16"/>
        <v>0</v>
      </c>
      <c r="AD13" s="100">
        <f t="shared" si="16"/>
        <v>0</v>
      </c>
      <c r="AE13" s="100">
        <f t="shared" si="16"/>
        <v>0</v>
      </c>
      <c r="AF13" s="100">
        <f t="shared" si="16"/>
        <v>0</v>
      </c>
      <c r="AG13" s="100">
        <f t="shared" si="16"/>
        <v>0</v>
      </c>
      <c r="AH13" s="100">
        <f t="shared" si="16"/>
        <v>0</v>
      </c>
    </row>
    <row r="14">
      <c r="A14" s="64"/>
      <c r="B14" s="82" t="s">
        <v>149</v>
      </c>
      <c r="C14" s="188"/>
      <c r="D14" s="189"/>
      <c r="E14" s="78"/>
      <c r="F14" s="79">
        <v>9.0</v>
      </c>
      <c r="G14" s="85">
        <f t="shared" si="5"/>
        <v>0</v>
      </c>
      <c r="H14" s="86">
        <f t="shared" si="8"/>
        <v>371.875</v>
      </c>
      <c r="I14" s="88">
        <f t="shared" si="6"/>
        <v>4036.458333</v>
      </c>
      <c r="J14" s="71"/>
      <c r="K14" s="89">
        <v>9.0</v>
      </c>
      <c r="L14" s="90">
        <f>if((L3-L6-L7-L8-L9-L10-L11-L12-L13)&gt;0.1,L13,0)</f>
        <v>1253.125</v>
      </c>
      <c r="M14" s="100"/>
      <c r="N14" s="100"/>
      <c r="O14" s="100">
        <f t="shared" ref="O14:P14" si="17">if((O3-O6-O10)&gt;0.1,O10,0)</f>
        <v>0</v>
      </c>
      <c r="P14" s="90">
        <f t="shared" si="17"/>
        <v>2333.333333</v>
      </c>
      <c r="Q14" s="100"/>
      <c r="R14" s="100"/>
      <c r="S14" s="90">
        <f t="shared" ref="S14:W14" si="18">if((S3-S6-S10)&gt;0.1,S10,0)</f>
        <v>100</v>
      </c>
      <c r="T14" s="90">
        <f t="shared" si="18"/>
        <v>150</v>
      </c>
      <c r="U14" s="90">
        <f t="shared" si="18"/>
        <v>100</v>
      </c>
      <c r="V14" s="90">
        <f t="shared" si="18"/>
        <v>100</v>
      </c>
      <c r="W14" s="100">
        <f t="shared" si="18"/>
        <v>0</v>
      </c>
      <c r="X14" s="100"/>
      <c r="Y14" s="100"/>
      <c r="Z14" s="100"/>
      <c r="AA14" s="100">
        <f t="shared" ref="AA14:AH14" si="19">if($K14=$F$4,AA$3,0)</f>
        <v>0</v>
      </c>
      <c r="AB14" s="100">
        <f t="shared" si="19"/>
        <v>0</v>
      </c>
      <c r="AC14" s="100">
        <f t="shared" si="19"/>
        <v>0</v>
      </c>
      <c r="AD14" s="100">
        <f t="shared" si="19"/>
        <v>0</v>
      </c>
      <c r="AE14" s="100">
        <f t="shared" si="19"/>
        <v>0</v>
      </c>
      <c r="AF14" s="100">
        <f t="shared" si="19"/>
        <v>0</v>
      </c>
      <c r="AG14" s="100">
        <f t="shared" si="19"/>
        <v>0</v>
      </c>
      <c r="AH14" s="100">
        <f t="shared" si="19"/>
        <v>0</v>
      </c>
    </row>
    <row r="15">
      <c r="A15" s="64"/>
      <c r="B15" s="82" t="s">
        <v>152</v>
      </c>
      <c r="C15" s="188"/>
      <c r="D15" s="189"/>
      <c r="E15" s="78"/>
      <c r="F15" s="79">
        <v>10.0</v>
      </c>
      <c r="G15" s="85">
        <f t="shared" si="5"/>
        <v>0</v>
      </c>
      <c r="H15" s="86">
        <f t="shared" si="8"/>
        <v>-881.25</v>
      </c>
      <c r="I15" s="88">
        <f t="shared" si="6"/>
        <v>1253.125</v>
      </c>
      <c r="J15" s="71"/>
      <c r="K15" s="89">
        <v>10.0</v>
      </c>
      <c r="L15" s="116">
        <f>if((L3-L6-L7-L8-L9-L10-L11-L12-L13-L14)&gt;0.1,L14,0)</f>
        <v>1253.125</v>
      </c>
      <c r="M15" s="117"/>
      <c r="N15" s="100"/>
      <c r="O15" s="117">
        <v>0.0</v>
      </c>
      <c r="P15" s="117">
        <v>0.0</v>
      </c>
      <c r="Q15" s="117"/>
      <c r="R15" s="117"/>
      <c r="S15" s="117">
        <v>0.0</v>
      </c>
      <c r="T15" s="117">
        <v>0.0</v>
      </c>
      <c r="U15" s="117">
        <v>0.0</v>
      </c>
      <c r="V15" s="117">
        <v>0.0</v>
      </c>
      <c r="W15" s="117">
        <v>0.0</v>
      </c>
      <c r="X15" s="117"/>
      <c r="Y15" s="117"/>
      <c r="Z15" s="117"/>
      <c r="AA15" s="100">
        <f t="shared" ref="AA15:AH15" si="20">if($K15=$F$4,AA$3,0)</f>
        <v>0</v>
      </c>
      <c r="AB15" s="100">
        <f t="shared" si="20"/>
        <v>0</v>
      </c>
      <c r="AC15" s="100">
        <f t="shared" si="20"/>
        <v>0</v>
      </c>
      <c r="AD15" s="100">
        <f t="shared" si="20"/>
        <v>0</v>
      </c>
      <c r="AE15" s="100">
        <f t="shared" si="20"/>
        <v>0</v>
      </c>
      <c r="AF15" s="100">
        <f t="shared" si="20"/>
        <v>0</v>
      </c>
      <c r="AG15" s="100">
        <f t="shared" si="20"/>
        <v>0</v>
      </c>
      <c r="AH15" s="100">
        <f t="shared" si="20"/>
        <v>0</v>
      </c>
    </row>
    <row r="16">
      <c r="A16" s="64"/>
      <c r="B16" s="82" t="s">
        <v>156</v>
      </c>
      <c r="C16" s="188"/>
      <c r="D16" s="189"/>
      <c r="E16" s="78"/>
      <c r="F16" s="79">
        <v>11.0</v>
      </c>
      <c r="G16" s="85">
        <f t="shared" si="5"/>
        <v>0</v>
      </c>
      <c r="H16" s="86">
        <f t="shared" si="8"/>
        <v>-2134.375</v>
      </c>
      <c r="I16" s="88">
        <f t="shared" si="6"/>
        <v>1253.125</v>
      </c>
      <c r="J16" s="71"/>
      <c r="K16" s="89">
        <v>11.0</v>
      </c>
      <c r="L16" s="116">
        <f>if((L3-L6-L7-L8-L9-L10-L11-L12-L13-L14-15)&gt;0.1,L15,0)</f>
        <v>1253.125</v>
      </c>
      <c r="M16" s="117"/>
      <c r="N16" s="100"/>
      <c r="O16" s="117">
        <v>0.0</v>
      </c>
      <c r="P16" s="117">
        <v>0.0</v>
      </c>
      <c r="Q16" s="117"/>
      <c r="R16" s="117"/>
      <c r="S16" s="117">
        <v>0.0</v>
      </c>
      <c r="T16" s="117">
        <v>0.0</v>
      </c>
      <c r="U16" s="117">
        <v>0.0</v>
      </c>
      <c r="V16" s="117">
        <v>0.0</v>
      </c>
      <c r="W16" s="117">
        <v>0.0</v>
      </c>
      <c r="X16" s="117"/>
      <c r="Y16" s="117"/>
      <c r="Z16" s="117"/>
      <c r="AA16" s="100">
        <f t="shared" ref="AA16:AH16" si="21">if($K16=$F$4,AA$3,0)</f>
        <v>0</v>
      </c>
      <c r="AB16" s="100">
        <f t="shared" si="21"/>
        <v>0</v>
      </c>
      <c r="AC16" s="100">
        <f t="shared" si="21"/>
        <v>0</v>
      </c>
      <c r="AD16" s="100">
        <f t="shared" si="21"/>
        <v>0</v>
      </c>
      <c r="AE16" s="100">
        <f t="shared" si="21"/>
        <v>0</v>
      </c>
      <c r="AF16" s="100">
        <f t="shared" si="21"/>
        <v>0</v>
      </c>
      <c r="AG16" s="100">
        <f t="shared" si="21"/>
        <v>0</v>
      </c>
      <c r="AH16" s="100">
        <f t="shared" si="21"/>
        <v>0</v>
      </c>
    </row>
    <row r="17">
      <c r="A17" s="64"/>
      <c r="B17" s="82" t="s">
        <v>160</v>
      </c>
      <c r="C17" s="188"/>
      <c r="D17" s="189"/>
      <c r="E17" s="78"/>
      <c r="F17" s="79">
        <v>12.0</v>
      </c>
      <c r="G17" s="85">
        <f t="shared" si="5"/>
        <v>6683.333333</v>
      </c>
      <c r="H17" s="86">
        <f t="shared" si="8"/>
        <v>3295.833333</v>
      </c>
      <c r="I17" s="88">
        <f t="shared" si="6"/>
        <v>1253.125</v>
      </c>
      <c r="J17" s="71"/>
      <c r="K17" s="89">
        <v>12.0</v>
      </c>
      <c r="L17" s="116">
        <f>if((L3-L6-L7-L8-L9-L10-L11-L12-L13-L14-L15-L16)&gt;0.1,L16,0)</f>
        <v>1253.125</v>
      </c>
      <c r="M17" s="117"/>
      <c r="N17" s="100"/>
      <c r="O17" s="117">
        <v>0.0</v>
      </c>
      <c r="P17" s="117">
        <v>0.0</v>
      </c>
      <c r="Q17" s="117"/>
      <c r="R17" s="117"/>
      <c r="S17" s="117">
        <v>0.0</v>
      </c>
      <c r="T17" s="117">
        <v>0.0</v>
      </c>
      <c r="U17" s="117">
        <v>0.0</v>
      </c>
      <c r="V17" s="117">
        <v>0.0</v>
      </c>
      <c r="W17" s="117">
        <v>0.0</v>
      </c>
      <c r="X17" s="117"/>
      <c r="Y17" s="117"/>
      <c r="Z17" s="117"/>
      <c r="AA17" s="100">
        <f t="shared" ref="AA17:AH17" si="22">if($K17=$F$4,AA$3,0)</f>
        <v>0</v>
      </c>
      <c r="AB17" s="100">
        <f t="shared" si="22"/>
        <v>0</v>
      </c>
      <c r="AC17" s="100">
        <f t="shared" si="22"/>
        <v>0</v>
      </c>
      <c r="AD17" s="100">
        <f t="shared" si="22"/>
        <v>0</v>
      </c>
      <c r="AE17" s="100">
        <f t="shared" si="22"/>
        <v>0</v>
      </c>
      <c r="AF17" s="100">
        <f t="shared" si="22"/>
        <v>0</v>
      </c>
      <c r="AG17" s="100">
        <f t="shared" si="22"/>
        <v>0</v>
      </c>
      <c r="AH17" s="100">
        <f t="shared" si="22"/>
        <v>0</v>
      </c>
    </row>
    <row r="18">
      <c r="A18" s="64"/>
      <c r="B18" s="82"/>
      <c r="C18" s="188"/>
      <c r="D18" s="189"/>
      <c r="E18" s="78"/>
      <c r="F18" s="79">
        <v>13.0</v>
      </c>
      <c r="G18" s="85">
        <f t="shared" si="5"/>
        <v>0</v>
      </c>
      <c r="H18" s="86">
        <f t="shared" si="8"/>
        <v>-740.625</v>
      </c>
      <c r="I18" s="88">
        <f t="shared" si="6"/>
        <v>4036.458333</v>
      </c>
      <c r="J18" s="71"/>
      <c r="K18" s="89">
        <v>13.0</v>
      </c>
      <c r="L18" s="90">
        <f>if((L3-L6-L7-L8-L9-L10-L11-L12-L13-L14-L15-L16-L17)&gt;0.1,L17,0)</f>
        <v>1253.125</v>
      </c>
      <c r="M18" s="100"/>
      <c r="N18" s="100"/>
      <c r="O18" s="100">
        <f t="shared" ref="O18:P18" si="23">if((O3-O6-O10-O14)&gt;0.1,O14,0)</f>
        <v>0</v>
      </c>
      <c r="P18" s="90">
        <f t="shared" si="23"/>
        <v>2333.333333</v>
      </c>
      <c r="Q18" s="100"/>
      <c r="R18" s="100"/>
      <c r="S18" s="90">
        <f t="shared" ref="S18:W18" si="24">if((S3-S6-S10-S14)&gt;0.1,S14,0)</f>
        <v>100</v>
      </c>
      <c r="T18" s="90">
        <f t="shared" si="24"/>
        <v>150</v>
      </c>
      <c r="U18" s="90">
        <f t="shared" si="24"/>
        <v>100</v>
      </c>
      <c r="V18" s="90">
        <f t="shared" si="24"/>
        <v>100</v>
      </c>
      <c r="W18" s="100">
        <f t="shared" si="24"/>
        <v>0</v>
      </c>
      <c r="X18" s="100"/>
      <c r="Y18" s="100"/>
      <c r="Z18" s="100"/>
      <c r="AA18" s="100">
        <f t="shared" ref="AA18:AH18" si="25">if($K18=$F$4,AA$3,0)</f>
        <v>0</v>
      </c>
      <c r="AB18" s="100">
        <f t="shared" si="25"/>
        <v>0</v>
      </c>
      <c r="AC18" s="100">
        <f t="shared" si="25"/>
        <v>0</v>
      </c>
      <c r="AD18" s="100">
        <f t="shared" si="25"/>
        <v>0</v>
      </c>
      <c r="AE18" s="100">
        <f t="shared" si="25"/>
        <v>0</v>
      </c>
      <c r="AF18" s="100">
        <f t="shared" si="25"/>
        <v>0</v>
      </c>
      <c r="AG18" s="100">
        <f t="shared" si="25"/>
        <v>0</v>
      </c>
      <c r="AH18" s="100">
        <f t="shared" si="25"/>
        <v>0</v>
      </c>
    </row>
    <row r="19">
      <c r="A19" s="64"/>
      <c r="B19" s="82"/>
      <c r="C19" s="188"/>
      <c r="D19" s="189"/>
      <c r="E19" s="78"/>
      <c r="F19" s="79">
        <v>14.0</v>
      </c>
      <c r="G19" s="85">
        <f t="shared" si="5"/>
        <v>0</v>
      </c>
      <c r="H19" s="86">
        <f t="shared" si="8"/>
        <v>-1993.75</v>
      </c>
      <c r="I19" s="88">
        <f t="shared" si="6"/>
        <v>1253.125</v>
      </c>
      <c r="J19" s="71"/>
      <c r="K19" s="89">
        <v>14.0</v>
      </c>
      <c r="L19" s="116">
        <f>if((L3-L6-L7-L8-L9-L10-L11-L12-L13-L14-L15-L16-L17-L18)&gt;0.1,L18,0)</f>
        <v>1253.125</v>
      </c>
      <c r="M19" s="117"/>
      <c r="N19" s="100"/>
      <c r="O19" s="117">
        <v>0.0</v>
      </c>
      <c r="P19" s="117">
        <v>0.0</v>
      </c>
      <c r="Q19" s="117"/>
      <c r="R19" s="117"/>
      <c r="S19" s="117">
        <v>0.0</v>
      </c>
      <c r="T19" s="117">
        <v>0.0</v>
      </c>
      <c r="U19" s="117">
        <v>0.0</v>
      </c>
      <c r="V19" s="117">
        <v>0.0</v>
      </c>
      <c r="W19" s="117">
        <v>0.0</v>
      </c>
      <c r="X19" s="117"/>
      <c r="Y19" s="117"/>
      <c r="Z19" s="117"/>
      <c r="AA19" s="100">
        <f t="shared" ref="AA19:AH19" si="26">if($K19=$F$4,AA$3,0)</f>
        <v>0</v>
      </c>
      <c r="AB19" s="100">
        <f t="shared" si="26"/>
        <v>0</v>
      </c>
      <c r="AC19" s="100">
        <f t="shared" si="26"/>
        <v>0</v>
      </c>
      <c r="AD19" s="100">
        <f t="shared" si="26"/>
        <v>0</v>
      </c>
      <c r="AE19" s="100">
        <f t="shared" si="26"/>
        <v>0</v>
      </c>
      <c r="AF19" s="100">
        <f t="shared" si="26"/>
        <v>0</v>
      </c>
      <c r="AG19" s="100">
        <f t="shared" si="26"/>
        <v>0</v>
      </c>
      <c r="AH19" s="100">
        <f t="shared" si="26"/>
        <v>0</v>
      </c>
    </row>
    <row r="20">
      <c r="A20" s="64"/>
      <c r="B20" s="82"/>
      <c r="C20" s="188"/>
      <c r="D20" s="189"/>
      <c r="E20" s="78"/>
      <c r="F20" s="79">
        <v>15.0</v>
      </c>
      <c r="G20" s="85">
        <f t="shared" si="5"/>
        <v>0</v>
      </c>
      <c r="H20" s="86">
        <f t="shared" si="8"/>
        <v>-3246.875</v>
      </c>
      <c r="I20" s="88">
        <f t="shared" si="6"/>
        <v>1253.125</v>
      </c>
      <c r="J20" s="71"/>
      <c r="K20" s="89">
        <v>15.0</v>
      </c>
      <c r="L20" s="116">
        <f>if((L3-L6-L7-L8-L9-L10-L11-L12-L13-L14-L15-L16-L17-L18-L19)&gt;0.1,L19,0)</f>
        <v>1253.125</v>
      </c>
      <c r="M20" s="117"/>
      <c r="N20" s="100"/>
      <c r="O20" s="117">
        <v>0.0</v>
      </c>
      <c r="P20" s="117">
        <v>0.0</v>
      </c>
      <c r="Q20" s="117"/>
      <c r="R20" s="117"/>
      <c r="S20" s="117">
        <v>0.0</v>
      </c>
      <c r="T20" s="117">
        <v>0.0</v>
      </c>
      <c r="U20" s="117">
        <v>0.0</v>
      </c>
      <c r="V20" s="117">
        <v>0.0</v>
      </c>
      <c r="W20" s="117">
        <v>0.0</v>
      </c>
      <c r="X20" s="117"/>
      <c r="Y20" s="117"/>
      <c r="Z20" s="117"/>
      <c r="AA20" s="100">
        <f t="shared" ref="AA20:AH20" si="27">if($K20=$F$4,AA$3,0)</f>
        <v>0</v>
      </c>
      <c r="AB20" s="100">
        <f t="shared" si="27"/>
        <v>0</v>
      </c>
      <c r="AC20" s="100">
        <f t="shared" si="27"/>
        <v>0</v>
      </c>
      <c r="AD20" s="100">
        <f t="shared" si="27"/>
        <v>0</v>
      </c>
      <c r="AE20" s="100">
        <f t="shared" si="27"/>
        <v>0</v>
      </c>
      <c r="AF20" s="100">
        <f t="shared" si="27"/>
        <v>0</v>
      </c>
      <c r="AG20" s="100">
        <f t="shared" si="27"/>
        <v>0</v>
      </c>
      <c r="AH20" s="100">
        <f t="shared" si="27"/>
        <v>0</v>
      </c>
    </row>
    <row r="21">
      <c r="A21" s="64"/>
      <c r="B21" s="82"/>
      <c r="C21" s="188"/>
      <c r="D21" s="189"/>
      <c r="E21" s="78"/>
      <c r="F21" s="79">
        <v>16.0</v>
      </c>
      <c r="G21" s="85">
        <f t="shared" si="5"/>
        <v>79950</v>
      </c>
      <c r="H21" s="86">
        <f t="shared" si="8"/>
        <v>67420</v>
      </c>
      <c r="I21" s="88">
        <f t="shared" si="6"/>
        <v>9283.125</v>
      </c>
      <c r="J21" s="71"/>
      <c r="K21" s="89">
        <v>16.0</v>
      </c>
      <c r="L21" s="116">
        <f>if((L3-L6-L7-L8-L9-L10-L11-L12-L13-L14-L15-L16-L17-L18-L19-L20)&gt;0.1,L20,0)</f>
        <v>1253.125</v>
      </c>
      <c r="M21" s="117"/>
      <c r="N21" s="117"/>
      <c r="O21" s="117">
        <v>0.0</v>
      </c>
      <c r="P21" s="117">
        <v>0.0</v>
      </c>
      <c r="Q21" s="117"/>
      <c r="R21" s="117"/>
      <c r="S21" s="117">
        <v>0.0</v>
      </c>
      <c r="T21" s="117">
        <v>0.0</v>
      </c>
      <c r="U21" s="117">
        <v>0.0</v>
      </c>
      <c r="V21" s="117">
        <v>0.0</v>
      </c>
      <c r="W21" s="117">
        <v>0.0</v>
      </c>
      <c r="X21" s="117"/>
      <c r="Y21" s="117"/>
      <c r="Z21" s="117"/>
      <c r="AA21" s="90">
        <f t="shared" ref="AA21:AH21" si="28">if($K21=$F$4,AA$3,0)</f>
        <v>1500</v>
      </c>
      <c r="AB21" s="90">
        <f t="shared" si="28"/>
        <v>500</v>
      </c>
      <c r="AC21" s="90">
        <f t="shared" si="28"/>
        <v>6000</v>
      </c>
      <c r="AD21" s="90">
        <f t="shared" si="28"/>
        <v>30</v>
      </c>
      <c r="AE21" s="90">
        <f t="shared" si="28"/>
        <v>0</v>
      </c>
      <c r="AF21" s="90">
        <f t="shared" si="28"/>
        <v>0</v>
      </c>
      <c r="AG21" s="90">
        <f t="shared" si="28"/>
        <v>0</v>
      </c>
      <c r="AH21" s="90">
        <f t="shared" si="28"/>
        <v>0</v>
      </c>
    </row>
    <row r="22">
      <c r="A22" s="64"/>
      <c r="B22" s="82"/>
      <c r="C22" s="188"/>
      <c r="D22" s="189"/>
      <c r="E22" s="78"/>
      <c r="F22" s="79">
        <v>17.0</v>
      </c>
      <c r="G22" s="85">
        <f t="shared" si="5"/>
        <v>0</v>
      </c>
      <c r="H22" s="86">
        <f t="shared" si="8"/>
        <v>67420</v>
      </c>
      <c r="I22" s="88">
        <f t="shared" si="6"/>
        <v>0</v>
      </c>
      <c r="J22" s="71"/>
      <c r="K22" s="89">
        <v>17.0</v>
      </c>
      <c r="L22" s="100">
        <f>if((L3-L6-L7-L8-L9-L10-L11-L12-L13-L14-L15-L16-L17-L18-L19-L20-L21)&gt;0.1,L21,0)</f>
        <v>0</v>
      </c>
      <c r="M22" s="100"/>
      <c r="N22" s="100"/>
      <c r="O22" s="100">
        <f t="shared" ref="O22:P22" si="29">if((O3-O6-O10-O14-O18)&gt;0.1,O18,0)</f>
        <v>0</v>
      </c>
      <c r="P22" s="100">
        <f t="shared" si="29"/>
        <v>0</v>
      </c>
      <c r="Q22" s="100"/>
      <c r="R22" s="100"/>
      <c r="S22" s="100">
        <f t="shared" ref="S22:W22" si="30">if((S3-S6-S10-S14-S18)&gt;0.1,S18,0)</f>
        <v>0</v>
      </c>
      <c r="T22" s="100">
        <f t="shared" si="30"/>
        <v>0</v>
      </c>
      <c r="U22" s="100">
        <f t="shared" si="30"/>
        <v>0</v>
      </c>
      <c r="V22" s="100">
        <f t="shared" si="30"/>
        <v>0</v>
      </c>
      <c r="W22" s="100">
        <f t="shared" si="30"/>
        <v>0</v>
      </c>
      <c r="X22" s="100"/>
      <c r="Y22" s="100"/>
      <c r="Z22" s="100"/>
      <c r="AA22" s="100">
        <f t="shared" ref="AA22:AH22" si="31">if($K22=$F$4,AA$3,0)</f>
        <v>0</v>
      </c>
      <c r="AB22" s="100">
        <f t="shared" si="31"/>
        <v>0</v>
      </c>
      <c r="AC22" s="100">
        <f t="shared" si="31"/>
        <v>0</v>
      </c>
      <c r="AD22" s="100">
        <f t="shared" si="31"/>
        <v>0</v>
      </c>
      <c r="AE22" s="100">
        <f t="shared" si="31"/>
        <v>0</v>
      </c>
      <c r="AF22" s="100">
        <f t="shared" si="31"/>
        <v>0</v>
      </c>
      <c r="AG22" s="100">
        <f t="shared" si="31"/>
        <v>0</v>
      </c>
      <c r="AH22" s="100">
        <f t="shared" si="31"/>
        <v>0</v>
      </c>
    </row>
    <row r="23">
      <c r="A23" s="64"/>
      <c r="B23" s="82"/>
      <c r="C23" s="188"/>
      <c r="D23" s="189"/>
      <c r="E23" s="78"/>
      <c r="F23" s="79">
        <v>18.0</v>
      </c>
      <c r="G23" s="85">
        <f t="shared" si="5"/>
        <v>0</v>
      </c>
      <c r="H23" s="86">
        <f t="shared" si="8"/>
        <v>67420</v>
      </c>
      <c r="I23" s="88">
        <f t="shared" si="6"/>
        <v>0</v>
      </c>
      <c r="J23" s="71"/>
      <c r="K23" s="89">
        <v>18.0</v>
      </c>
      <c r="L23" s="117">
        <f>if((L3-L6-L7-L8-L9-L10-L11-L12-L13-L14-L15-L16-L17-L18-L19-L20-L21-L22)&gt;0.1,L22,0)</f>
        <v>0</v>
      </c>
      <c r="M23" s="117"/>
      <c r="N23" s="100"/>
      <c r="O23" s="117">
        <v>0.0</v>
      </c>
      <c r="P23" s="117">
        <v>0.0</v>
      </c>
      <c r="Q23" s="117"/>
      <c r="R23" s="117"/>
      <c r="S23" s="117">
        <v>0.0</v>
      </c>
      <c r="T23" s="117">
        <v>0.0</v>
      </c>
      <c r="U23" s="117">
        <v>0.0</v>
      </c>
      <c r="V23" s="117">
        <v>0.0</v>
      </c>
      <c r="W23" s="117">
        <v>0.0</v>
      </c>
      <c r="X23" s="117"/>
      <c r="Y23" s="117"/>
      <c r="Z23" s="117"/>
      <c r="AA23" s="100">
        <f t="shared" ref="AA23:AH23" si="32">if($K23=$F$4,AA$3,0)</f>
        <v>0</v>
      </c>
      <c r="AB23" s="100">
        <f t="shared" si="32"/>
        <v>0</v>
      </c>
      <c r="AC23" s="100">
        <f t="shared" si="32"/>
        <v>0</v>
      </c>
      <c r="AD23" s="100">
        <f t="shared" si="32"/>
        <v>0</v>
      </c>
      <c r="AE23" s="100">
        <f t="shared" si="32"/>
        <v>0</v>
      </c>
      <c r="AF23" s="100">
        <f t="shared" si="32"/>
        <v>0</v>
      </c>
      <c r="AG23" s="100">
        <f t="shared" si="32"/>
        <v>0</v>
      </c>
      <c r="AH23" s="100">
        <f t="shared" si="32"/>
        <v>0</v>
      </c>
    </row>
    <row r="24">
      <c r="A24" s="64"/>
      <c r="B24" s="82"/>
      <c r="C24" s="188"/>
      <c r="D24" s="189"/>
      <c r="E24" s="78"/>
      <c r="F24" s="79">
        <v>19.0</v>
      </c>
      <c r="G24" s="85">
        <f t="shared" si="5"/>
        <v>0</v>
      </c>
      <c r="H24" s="86">
        <f t="shared" si="8"/>
        <v>67420</v>
      </c>
      <c r="I24" s="88">
        <f t="shared" si="6"/>
        <v>0</v>
      </c>
      <c r="J24" s="71"/>
      <c r="K24" s="89">
        <v>19.0</v>
      </c>
      <c r="L24" s="117">
        <f>if((L3-L6-L7-L8-L9-L10-L11-L12-L13-L14-L15-L16-L17-L18-L19-L20-L21-L22-L23)&gt;0.1,L23,0)</f>
        <v>0</v>
      </c>
      <c r="M24" s="117"/>
      <c r="N24" s="100"/>
      <c r="O24" s="117">
        <v>0.0</v>
      </c>
      <c r="P24" s="117">
        <v>0.0</v>
      </c>
      <c r="Q24" s="117"/>
      <c r="R24" s="117"/>
      <c r="S24" s="117">
        <v>0.0</v>
      </c>
      <c r="T24" s="117">
        <v>0.0</v>
      </c>
      <c r="U24" s="117">
        <v>0.0</v>
      </c>
      <c r="V24" s="117">
        <v>0.0</v>
      </c>
      <c r="W24" s="117">
        <v>0.0</v>
      </c>
      <c r="X24" s="117"/>
      <c r="Y24" s="117"/>
      <c r="Z24" s="117"/>
      <c r="AA24" s="100">
        <f t="shared" ref="AA24:AH24" si="33">if($K24=$F$4,AA$3,0)</f>
        <v>0</v>
      </c>
      <c r="AB24" s="100">
        <f t="shared" si="33"/>
        <v>0</v>
      </c>
      <c r="AC24" s="100">
        <f t="shared" si="33"/>
        <v>0</v>
      </c>
      <c r="AD24" s="100">
        <f t="shared" si="33"/>
        <v>0</v>
      </c>
      <c r="AE24" s="100">
        <f t="shared" si="33"/>
        <v>0</v>
      </c>
      <c r="AF24" s="100">
        <f t="shared" si="33"/>
        <v>0</v>
      </c>
      <c r="AG24" s="100">
        <f t="shared" si="33"/>
        <v>0</v>
      </c>
      <c r="AH24" s="100">
        <f t="shared" si="33"/>
        <v>0</v>
      </c>
    </row>
    <row r="25">
      <c r="A25" s="64"/>
      <c r="B25" s="276"/>
      <c r="C25" s="188"/>
      <c r="D25" s="277"/>
      <c r="E25" s="78"/>
      <c r="F25" s="79">
        <v>20.0</v>
      </c>
      <c r="G25" s="85">
        <f t="shared" si="5"/>
        <v>0</v>
      </c>
      <c r="H25" s="86">
        <f t="shared" si="8"/>
        <v>67420</v>
      </c>
      <c r="I25" s="88">
        <f t="shared" si="6"/>
        <v>0</v>
      </c>
      <c r="J25" s="71"/>
      <c r="K25" s="89">
        <v>20.0</v>
      </c>
      <c r="L25" s="117">
        <f>if((L3-L6-L7-L8-L9-L10-L11-L12-L13-L14-L15-L16-L17-L18-L19-L20-L21-L22-L23-L24)&gt;0.1,L24,0)</f>
        <v>0</v>
      </c>
      <c r="M25" s="117"/>
      <c r="N25" s="100"/>
      <c r="O25" s="117">
        <v>0.0</v>
      </c>
      <c r="P25" s="117">
        <v>0.0</v>
      </c>
      <c r="Q25" s="117"/>
      <c r="R25" s="117"/>
      <c r="S25" s="117">
        <v>0.0</v>
      </c>
      <c r="T25" s="117">
        <v>0.0</v>
      </c>
      <c r="U25" s="117">
        <v>0.0</v>
      </c>
      <c r="V25" s="117">
        <v>0.0</v>
      </c>
      <c r="W25" s="117">
        <v>0.0</v>
      </c>
      <c r="X25" s="117"/>
      <c r="Y25" s="117"/>
      <c r="Z25" s="117"/>
      <c r="AA25" s="100">
        <f t="shared" ref="AA25:AH25" si="34">if($K25=$F$4,AA$3,0)</f>
        <v>0</v>
      </c>
      <c r="AB25" s="100">
        <f t="shared" si="34"/>
        <v>0</v>
      </c>
      <c r="AC25" s="100">
        <f t="shared" si="34"/>
        <v>0</v>
      </c>
      <c r="AD25" s="100">
        <f t="shared" si="34"/>
        <v>0</v>
      </c>
      <c r="AE25" s="100">
        <f t="shared" si="34"/>
        <v>0</v>
      </c>
      <c r="AF25" s="100">
        <f t="shared" si="34"/>
        <v>0</v>
      </c>
      <c r="AG25" s="100">
        <f t="shared" si="34"/>
        <v>0</v>
      </c>
      <c r="AH25" s="100">
        <f t="shared" si="34"/>
        <v>0</v>
      </c>
    </row>
    <row r="26">
      <c r="A26" s="64"/>
      <c r="B26" s="276"/>
      <c r="C26" s="188"/>
      <c r="D26" s="277"/>
      <c r="E26" s="78"/>
      <c r="F26" s="79">
        <v>21.0</v>
      </c>
      <c r="G26" s="85">
        <f t="shared" si="5"/>
        <v>0</v>
      </c>
      <c r="H26" s="86">
        <f t="shared" si="8"/>
        <v>67420</v>
      </c>
      <c r="I26" s="88">
        <f t="shared" si="6"/>
        <v>0</v>
      </c>
      <c r="J26" s="71"/>
      <c r="K26" s="89">
        <v>21.0</v>
      </c>
      <c r="L26" s="100">
        <f>if((L3-L6-L7-L8-L9-L10-L11-L12-L13-L14-L15-L16-L17-L18-L19-L20-L21-L22-L23-L24-L25)&gt;0.1,L25,0)</f>
        <v>0</v>
      </c>
      <c r="M26" s="100"/>
      <c r="N26" s="100"/>
      <c r="O26" s="100">
        <f t="shared" ref="O26:P26" si="35">if((O3-O6-O10-O14-O18-O22)&gt;0.1,O22,0)</f>
        <v>0</v>
      </c>
      <c r="P26" s="100">
        <f t="shared" si="35"/>
        <v>0</v>
      </c>
      <c r="Q26" s="100"/>
      <c r="R26" s="100"/>
      <c r="S26" s="100">
        <f t="shared" ref="S26:W26" si="36">if((S3-S6-S10-S14-S18-S22)&gt;0.1,S22,0)</f>
        <v>0</v>
      </c>
      <c r="T26" s="100">
        <f t="shared" si="36"/>
        <v>0</v>
      </c>
      <c r="U26" s="100">
        <f t="shared" si="36"/>
        <v>0</v>
      </c>
      <c r="V26" s="100">
        <f t="shared" si="36"/>
        <v>0</v>
      </c>
      <c r="W26" s="100">
        <f t="shared" si="36"/>
        <v>0</v>
      </c>
      <c r="X26" s="100"/>
      <c r="Y26" s="100"/>
      <c r="Z26" s="100"/>
      <c r="AA26" s="100">
        <f t="shared" ref="AA26:AH26" si="37">if($K26=$F$4,AA$3,0)</f>
        <v>0</v>
      </c>
      <c r="AB26" s="100">
        <f t="shared" si="37"/>
        <v>0</v>
      </c>
      <c r="AC26" s="100">
        <f t="shared" si="37"/>
        <v>0</v>
      </c>
      <c r="AD26" s="100">
        <f t="shared" si="37"/>
        <v>0</v>
      </c>
      <c r="AE26" s="100">
        <f t="shared" si="37"/>
        <v>0</v>
      </c>
      <c r="AF26" s="100">
        <f t="shared" si="37"/>
        <v>0</v>
      </c>
      <c r="AG26" s="100">
        <f t="shared" si="37"/>
        <v>0</v>
      </c>
      <c r="AH26" s="100">
        <f t="shared" si="37"/>
        <v>0</v>
      </c>
    </row>
    <row r="27">
      <c r="A27" s="64"/>
      <c r="B27" s="276"/>
      <c r="C27" s="188"/>
      <c r="D27" s="277"/>
      <c r="E27" s="78"/>
      <c r="F27" s="79">
        <v>22.0</v>
      </c>
      <c r="G27" s="85">
        <f t="shared" si="5"/>
        <v>0</v>
      </c>
      <c r="H27" s="86">
        <f t="shared" si="8"/>
        <v>67420</v>
      </c>
      <c r="I27" s="88">
        <f t="shared" si="6"/>
        <v>0</v>
      </c>
      <c r="J27" s="71"/>
      <c r="K27" s="89">
        <v>22.0</v>
      </c>
      <c r="L27" s="117">
        <f>if((L3-L6-L7-L8-L9-L10-L11-L12-L13-L14-L15-L16-L17-L18-L19-L20-L21-L22-L23-L24-L25-L26)&gt;0.1,L26,0)</f>
        <v>0</v>
      </c>
      <c r="M27" s="117"/>
      <c r="N27" s="100"/>
      <c r="O27" s="117">
        <v>0.0</v>
      </c>
      <c r="P27" s="117">
        <v>0.0</v>
      </c>
      <c r="Q27" s="117"/>
      <c r="R27" s="117"/>
      <c r="S27" s="117">
        <v>0.0</v>
      </c>
      <c r="T27" s="117">
        <v>0.0</v>
      </c>
      <c r="U27" s="117">
        <v>0.0</v>
      </c>
      <c r="V27" s="117">
        <v>0.0</v>
      </c>
      <c r="W27" s="117">
        <v>0.0</v>
      </c>
      <c r="X27" s="117"/>
      <c r="Y27" s="117"/>
      <c r="Z27" s="117"/>
      <c r="AA27" s="100">
        <f t="shared" ref="AA27:AH27" si="38">if($K27=$F$4,AA$3,0)</f>
        <v>0</v>
      </c>
      <c r="AB27" s="100">
        <f t="shared" si="38"/>
        <v>0</v>
      </c>
      <c r="AC27" s="100">
        <f t="shared" si="38"/>
        <v>0</v>
      </c>
      <c r="AD27" s="100">
        <f t="shared" si="38"/>
        <v>0</v>
      </c>
      <c r="AE27" s="100">
        <f t="shared" si="38"/>
        <v>0</v>
      </c>
      <c r="AF27" s="100">
        <f t="shared" si="38"/>
        <v>0</v>
      </c>
      <c r="AG27" s="100">
        <f t="shared" si="38"/>
        <v>0</v>
      </c>
      <c r="AH27" s="100">
        <f t="shared" si="38"/>
        <v>0</v>
      </c>
    </row>
    <row r="28">
      <c r="A28" s="64"/>
      <c r="B28" s="276"/>
      <c r="C28" s="188"/>
      <c r="D28" s="277"/>
      <c r="E28" s="78"/>
      <c r="F28" s="79">
        <v>23.0</v>
      </c>
      <c r="G28" s="85">
        <f t="shared" si="5"/>
        <v>0</v>
      </c>
      <c r="H28" s="86">
        <f t="shared" si="8"/>
        <v>67420</v>
      </c>
      <c r="I28" s="88">
        <f t="shared" si="6"/>
        <v>0</v>
      </c>
      <c r="J28" s="71"/>
      <c r="K28" s="89">
        <v>23.0</v>
      </c>
      <c r="L28" s="117">
        <f>if((L3-L6-L7-L8-L9-L10-L11-L12-L13-L14-L15-L16-L17-L18-L19-L20-L21-L22-L23-L24-L25-L26-L27)&gt;0.1,L27,0)</f>
        <v>0</v>
      </c>
      <c r="M28" s="117"/>
      <c r="N28" s="100"/>
      <c r="O28" s="117">
        <v>0.0</v>
      </c>
      <c r="P28" s="117">
        <v>0.0</v>
      </c>
      <c r="Q28" s="117"/>
      <c r="R28" s="117"/>
      <c r="S28" s="117">
        <v>0.0</v>
      </c>
      <c r="T28" s="117">
        <v>0.0</v>
      </c>
      <c r="U28" s="117">
        <v>0.0</v>
      </c>
      <c r="V28" s="117">
        <v>0.0</v>
      </c>
      <c r="W28" s="117">
        <v>0.0</v>
      </c>
      <c r="X28" s="117"/>
      <c r="Y28" s="117"/>
      <c r="Z28" s="117"/>
      <c r="AA28" s="100">
        <f t="shared" ref="AA28:AH28" si="39">if($K28=$F$4,AA$3,0)</f>
        <v>0</v>
      </c>
      <c r="AB28" s="100">
        <f t="shared" si="39"/>
        <v>0</v>
      </c>
      <c r="AC28" s="100">
        <f t="shared" si="39"/>
        <v>0</v>
      </c>
      <c r="AD28" s="100">
        <f t="shared" si="39"/>
        <v>0</v>
      </c>
      <c r="AE28" s="100">
        <f t="shared" si="39"/>
        <v>0</v>
      </c>
      <c r="AF28" s="100">
        <f t="shared" si="39"/>
        <v>0</v>
      </c>
      <c r="AG28" s="100">
        <f t="shared" si="39"/>
        <v>0</v>
      </c>
      <c r="AH28" s="100">
        <f t="shared" si="39"/>
        <v>0</v>
      </c>
    </row>
    <row r="29">
      <c r="A29" s="64"/>
      <c r="B29" s="276"/>
      <c r="C29" s="188"/>
      <c r="D29" s="277"/>
      <c r="E29" s="78"/>
      <c r="F29" s="79">
        <v>24.0</v>
      </c>
      <c r="G29" s="85">
        <f t="shared" si="5"/>
        <v>0</v>
      </c>
      <c r="H29" s="86">
        <f t="shared" si="8"/>
        <v>67420</v>
      </c>
      <c r="I29" s="88">
        <f t="shared" si="6"/>
        <v>0</v>
      </c>
      <c r="J29" s="71"/>
      <c r="K29" s="89">
        <v>24.0</v>
      </c>
      <c r="L29" s="117">
        <f>if((L3-L6-L7-L8-L9-L10-L11-L12-L13-L14-L15-L16-L17-L18-L19-L20-L21-L22-L23-L24-L25-L26-L27-L28)&gt;0.1,L28,0)</f>
        <v>0</v>
      </c>
      <c r="M29" s="117"/>
      <c r="N29" s="100"/>
      <c r="O29" s="117">
        <v>0.0</v>
      </c>
      <c r="P29" s="117">
        <v>0.0</v>
      </c>
      <c r="Q29" s="117"/>
      <c r="R29" s="117"/>
      <c r="S29" s="117">
        <v>0.0</v>
      </c>
      <c r="T29" s="117">
        <v>0.0</v>
      </c>
      <c r="U29" s="117">
        <v>0.0</v>
      </c>
      <c r="V29" s="117">
        <v>0.0</v>
      </c>
      <c r="W29" s="117">
        <v>0.0</v>
      </c>
      <c r="X29" s="117"/>
      <c r="Y29" s="117"/>
      <c r="Z29" s="117"/>
      <c r="AA29" s="100">
        <f t="shared" ref="AA29:AH29" si="40">if($K29=$F$4,AA$3,0)</f>
        <v>0</v>
      </c>
      <c r="AB29" s="100">
        <f t="shared" si="40"/>
        <v>0</v>
      </c>
      <c r="AC29" s="100">
        <f t="shared" si="40"/>
        <v>0</v>
      </c>
      <c r="AD29" s="100">
        <f t="shared" si="40"/>
        <v>0</v>
      </c>
      <c r="AE29" s="100">
        <f t="shared" si="40"/>
        <v>0</v>
      </c>
      <c r="AF29" s="100">
        <f t="shared" si="40"/>
        <v>0</v>
      </c>
      <c r="AG29" s="100">
        <f t="shared" si="40"/>
        <v>0</v>
      </c>
      <c r="AH29" s="100">
        <f t="shared" si="40"/>
        <v>0</v>
      </c>
    </row>
    <row r="30">
      <c r="A30" s="64"/>
      <c r="B30" s="276"/>
      <c r="C30" s="188"/>
      <c r="D30" s="277"/>
      <c r="E30" s="78"/>
      <c r="F30" s="79">
        <v>25.0</v>
      </c>
      <c r="G30" s="85">
        <f t="shared" si="5"/>
        <v>0</v>
      </c>
      <c r="H30" s="86">
        <f t="shared" si="8"/>
        <v>67420</v>
      </c>
      <c r="I30" s="88">
        <f t="shared" si="6"/>
        <v>0</v>
      </c>
      <c r="J30" s="71"/>
      <c r="K30" s="89">
        <v>25.0</v>
      </c>
      <c r="L30" s="100">
        <f>if((L3-L6-L7-L8-L9-L10-L11-L12-L13-L14-L15-L16-L17-L18-L19-L20-L21-L22-L23-L24-L25-L26-L27-L28-L29)&gt;0.1,L29,0)</f>
        <v>0</v>
      </c>
      <c r="M30" s="100"/>
      <c r="N30" s="100"/>
      <c r="O30" s="100">
        <f t="shared" ref="O30:P30" si="41">if((O3-O6-O10-O14-O18-O22-O26)&gt;0.1,O26,0)</f>
        <v>0</v>
      </c>
      <c r="P30" s="100">
        <f t="shared" si="41"/>
        <v>0</v>
      </c>
      <c r="Q30" s="100"/>
      <c r="R30" s="100"/>
      <c r="S30" s="100">
        <f t="shared" ref="S30:W30" si="42">if((S3-S6-S10-S14-S18-S22-S26)&gt;0.1,S26,0)</f>
        <v>0</v>
      </c>
      <c r="T30" s="100">
        <f t="shared" si="42"/>
        <v>0</v>
      </c>
      <c r="U30" s="100">
        <f t="shared" si="42"/>
        <v>0</v>
      </c>
      <c r="V30" s="100">
        <f t="shared" si="42"/>
        <v>0</v>
      </c>
      <c r="W30" s="100">
        <f t="shared" si="42"/>
        <v>0</v>
      </c>
      <c r="X30" s="100"/>
      <c r="Y30" s="100"/>
      <c r="Z30" s="100"/>
      <c r="AA30" s="100">
        <f t="shared" ref="AA30:AH30" si="43">if($K30=$F$4,AA$3,0)</f>
        <v>0</v>
      </c>
      <c r="AB30" s="100">
        <f t="shared" si="43"/>
        <v>0</v>
      </c>
      <c r="AC30" s="100">
        <f t="shared" si="43"/>
        <v>0</v>
      </c>
      <c r="AD30" s="100">
        <f t="shared" si="43"/>
        <v>0</v>
      </c>
      <c r="AE30" s="100">
        <f t="shared" si="43"/>
        <v>0</v>
      </c>
      <c r="AF30" s="100">
        <f t="shared" si="43"/>
        <v>0</v>
      </c>
      <c r="AG30" s="100">
        <f t="shared" si="43"/>
        <v>0</v>
      </c>
      <c r="AH30" s="100">
        <f t="shared" si="43"/>
        <v>0</v>
      </c>
    </row>
    <row r="31">
      <c r="A31" s="64"/>
      <c r="B31" s="276"/>
      <c r="C31" s="188"/>
      <c r="D31" s="277"/>
      <c r="E31" s="78"/>
      <c r="F31" s="79">
        <v>26.0</v>
      </c>
      <c r="G31" s="85">
        <f t="shared" si="5"/>
        <v>0</v>
      </c>
      <c r="H31" s="86">
        <f t="shared" si="8"/>
        <v>67420</v>
      </c>
      <c r="I31" s="88">
        <f t="shared" si="6"/>
        <v>0</v>
      </c>
      <c r="J31" s="71"/>
      <c r="K31" s="89">
        <v>26.0</v>
      </c>
      <c r="L31" s="117">
        <f>if((L3-L6-L7-L8-L9-L10-L11-L12-L13-L14-L15-L16-L17-L18-L19-L20-L21-L22-L23-L24-L25-L26-L27-L28-L29-L30)&gt;0.1,L30,0)</f>
        <v>0</v>
      </c>
      <c r="M31" s="117"/>
      <c r="N31" s="100"/>
      <c r="O31" s="117">
        <v>0.0</v>
      </c>
      <c r="P31" s="117">
        <v>0.0</v>
      </c>
      <c r="Q31" s="117"/>
      <c r="R31" s="117"/>
      <c r="S31" s="117">
        <v>0.0</v>
      </c>
      <c r="T31" s="117">
        <v>0.0</v>
      </c>
      <c r="U31" s="117">
        <v>0.0</v>
      </c>
      <c r="V31" s="117">
        <v>0.0</v>
      </c>
      <c r="W31" s="117">
        <v>0.0</v>
      </c>
      <c r="X31" s="117"/>
      <c r="Y31" s="117"/>
      <c r="Z31" s="117"/>
      <c r="AA31" s="100">
        <f t="shared" ref="AA31:AH31" si="44">if($K31=$F$4,AA$3,0)</f>
        <v>0</v>
      </c>
      <c r="AB31" s="100">
        <f t="shared" si="44"/>
        <v>0</v>
      </c>
      <c r="AC31" s="100">
        <f t="shared" si="44"/>
        <v>0</v>
      </c>
      <c r="AD31" s="100">
        <f t="shared" si="44"/>
        <v>0</v>
      </c>
      <c r="AE31" s="100">
        <f t="shared" si="44"/>
        <v>0</v>
      </c>
      <c r="AF31" s="100">
        <f t="shared" si="44"/>
        <v>0</v>
      </c>
      <c r="AG31" s="100">
        <f t="shared" si="44"/>
        <v>0</v>
      </c>
      <c r="AH31" s="100">
        <f t="shared" si="44"/>
        <v>0</v>
      </c>
    </row>
    <row r="32">
      <c r="A32" s="64"/>
      <c r="B32" s="276"/>
      <c r="C32" s="188"/>
      <c r="D32" s="277"/>
      <c r="E32" s="78"/>
      <c r="F32" s="79">
        <v>27.0</v>
      </c>
      <c r="G32" s="85">
        <f t="shared" si="5"/>
        <v>0</v>
      </c>
      <c r="H32" s="86">
        <f t="shared" si="8"/>
        <v>67420</v>
      </c>
      <c r="I32" s="88">
        <f t="shared" si="6"/>
        <v>0</v>
      </c>
      <c r="J32" s="71"/>
      <c r="K32" s="89">
        <v>27.0</v>
      </c>
      <c r="L32" s="117">
        <f>if((L3-L6-L7-L8-L9-L10-L11-L12-L13-L14-L15-L16-L17-L18-L19-L20-L21-L22-L23-L24-L25-L26-L27-L28-L29-L30-L31)&gt;0.1,L31,0)</f>
        <v>0</v>
      </c>
      <c r="M32" s="117"/>
      <c r="N32" s="100"/>
      <c r="O32" s="117">
        <v>0.0</v>
      </c>
      <c r="P32" s="117">
        <v>0.0</v>
      </c>
      <c r="Q32" s="117"/>
      <c r="R32" s="117"/>
      <c r="S32" s="117">
        <v>0.0</v>
      </c>
      <c r="T32" s="117">
        <v>0.0</v>
      </c>
      <c r="U32" s="117">
        <v>0.0</v>
      </c>
      <c r="V32" s="117">
        <v>0.0</v>
      </c>
      <c r="W32" s="117">
        <v>0.0</v>
      </c>
      <c r="X32" s="117"/>
      <c r="Y32" s="117"/>
      <c r="Z32" s="117"/>
      <c r="AA32" s="100">
        <f t="shared" ref="AA32:AH32" si="45">if($K32=$F$4,AA$3,0)</f>
        <v>0</v>
      </c>
      <c r="AB32" s="100">
        <f t="shared" si="45"/>
        <v>0</v>
      </c>
      <c r="AC32" s="100">
        <f t="shared" si="45"/>
        <v>0</v>
      </c>
      <c r="AD32" s="100">
        <f t="shared" si="45"/>
        <v>0</v>
      </c>
      <c r="AE32" s="100">
        <f t="shared" si="45"/>
        <v>0</v>
      </c>
      <c r="AF32" s="100">
        <f t="shared" si="45"/>
        <v>0</v>
      </c>
      <c r="AG32" s="100">
        <f t="shared" si="45"/>
        <v>0</v>
      </c>
      <c r="AH32" s="100">
        <f t="shared" si="45"/>
        <v>0</v>
      </c>
    </row>
    <row r="33">
      <c r="A33" s="64"/>
      <c r="B33" s="276"/>
      <c r="C33" s="188"/>
      <c r="D33" s="277"/>
      <c r="E33" s="78"/>
      <c r="F33" s="79">
        <v>28.0</v>
      </c>
      <c r="G33" s="85">
        <f t="shared" si="5"/>
        <v>0</v>
      </c>
      <c r="H33" s="86">
        <f t="shared" si="8"/>
        <v>67420</v>
      </c>
      <c r="I33" s="88">
        <f t="shared" si="6"/>
        <v>0</v>
      </c>
      <c r="J33" s="71"/>
      <c r="K33" s="89">
        <v>28.0</v>
      </c>
      <c r="L33" s="117">
        <f>if((L3-L6-L7-L8-L9-L10-L11-L12-L13-L14-L15-L16-L17-L18-L19-L20-L21-L22-L23-L24-L25-L26-L27-L28-L29-L30-L31-L32)&gt;0.1,L32,0)</f>
        <v>0</v>
      </c>
      <c r="M33" s="117"/>
      <c r="N33" s="100"/>
      <c r="O33" s="117">
        <v>0.0</v>
      </c>
      <c r="P33" s="117">
        <v>0.0</v>
      </c>
      <c r="Q33" s="117"/>
      <c r="R33" s="117"/>
      <c r="S33" s="117">
        <v>0.0</v>
      </c>
      <c r="T33" s="117">
        <v>0.0</v>
      </c>
      <c r="U33" s="117">
        <v>0.0</v>
      </c>
      <c r="V33" s="117">
        <v>0.0</v>
      </c>
      <c r="W33" s="117">
        <v>0.0</v>
      </c>
      <c r="X33" s="117"/>
      <c r="Y33" s="117"/>
      <c r="Z33" s="117"/>
      <c r="AA33" s="100">
        <f t="shared" ref="AA33:AH33" si="46">if($K33=$F$4,AA$3,0)</f>
        <v>0</v>
      </c>
      <c r="AB33" s="100">
        <f t="shared" si="46"/>
        <v>0</v>
      </c>
      <c r="AC33" s="100">
        <f t="shared" si="46"/>
        <v>0</v>
      </c>
      <c r="AD33" s="100">
        <f t="shared" si="46"/>
        <v>0</v>
      </c>
      <c r="AE33" s="100">
        <f t="shared" si="46"/>
        <v>0</v>
      </c>
      <c r="AF33" s="100">
        <f t="shared" si="46"/>
        <v>0</v>
      </c>
      <c r="AG33" s="100">
        <f t="shared" si="46"/>
        <v>0</v>
      </c>
      <c r="AH33" s="100">
        <f t="shared" si="46"/>
        <v>0</v>
      </c>
    </row>
    <row r="34">
      <c r="A34" s="64"/>
      <c r="B34" s="276"/>
      <c r="C34" s="188"/>
      <c r="D34" s="277"/>
      <c r="E34" s="78"/>
      <c r="F34" s="79">
        <v>29.0</v>
      </c>
      <c r="G34" s="85">
        <f t="shared" si="5"/>
        <v>0</v>
      </c>
      <c r="H34" s="86">
        <f t="shared" si="8"/>
        <v>67420</v>
      </c>
      <c r="I34" s="88">
        <f t="shared" si="6"/>
        <v>0</v>
      </c>
      <c r="J34" s="71"/>
      <c r="K34" s="89">
        <v>29.0</v>
      </c>
      <c r="L34" s="100">
        <f>if((L3-L6-L7-L8-L9-L10-L11-L12-L13-L14-L15-L16-L17-L18-L19-L20-L21-L22-L23-L24-L25-L26-L27-L28-L29-L30-L31-L32-L33)&gt;0.1,L33,0)</f>
        <v>0</v>
      </c>
      <c r="M34" s="100"/>
      <c r="N34" s="100"/>
      <c r="O34" s="100">
        <f t="shared" ref="O34:P34" si="47">if((O3-O6-O10-O14-O18-O22-O26-O30)&gt;0.1,O30,0)</f>
        <v>0</v>
      </c>
      <c r="P34" s="100">
        <f t="shared" si="47"/>
        <v>0</v>
      </c>
      <c r="Q34" s="100"/>
      <c r="R34" s="100"/>
      <c r="S34" s="100">
        <f t="shared" ref="S34:W34" si="48">if((S3-S6-S10-S14-S18-S22-S26-S30)&gt;0.1,S30,0)</f>
        <v>0</v>
      </c>
      <c r="T34" s="100">
        <f t="shared" si="48"/>
        <v>0</v>
      </c>
      <c r="U34" s="100">
        <f t="shared" si="48"/>
        <v>0</v>
      </c>
      <c r="V34" s="100">
        <f t="shared" si="48"/>
        <v>0</v>
      </c>
      <c r="W34" s="100">
        <f t="shared" si="48"/>
        <v>0</v>
      </c>
      <c r="X34" s="100"/>
      <c r="Y34" s="100"/>
      <c r="Z34" s="100"/>
      <c r="AA34" s="100">
        <f t="shared" ref="AA34:AH34" si="49">if($K34=$F$4,AA$3,0)</f>
        <v>0</v>
      </c>
      <c r="AB34" s="100">
        <f t="shared" si="49"/>
        <v>0</v>
      </c>
      <c r="AC34" s="100">
        <f t="shared" si="49"/>
        <v>0</v>
      </c>
      <c r="AD34" s="100">
        <f t="shared" si="49"/>
        <v>0</v>
      </c>
      <c r="AE34" s="100">
        <f t="shared" si="49"/>
        <v>0</v>
      </c>
      <c r="AF34" s="100">
        <f t="shared" si="49"/>
        <v>0</v>
      </c>
      <c r="AG34" s="100">
        <f t="shared" si="49"/>
        <v>0</v>
      </c>
      <c r="AH34" s="100">
        <f t="shared" si="49"/>
        <v>0</v>
      </c>
    </row>
    <row r="35">
      <c r="A35" s="64"/>
      <c r="B35" s="276"/>
      <c r="C35" s="188"/>
      <c r="D35" s="277"/>
      <c r="E35" s="78"/>
      <c r="F35" s="79">
        <v>30.0</v>
      </c>
      <c r="G35" s="85">
        <f t="shared" si="5"/>
        <v>0</v>
      </c>
      <c r="H35" s="86">
        <f t="shared" si="8"/>
        <v>67420</v>
      </c>
      <c r="I35" s="88">
        <f t="shared" si="6"/>
        <v>0</v>
      </c>
      <c r="J35" s="71"/>
      <c r="K35" s="89">
        <v>30.0</v>
      </c>
      <c r="L35" s="117">
        <f>if((L3-L6-L7-L8-L9-L10-L11-L12-L13-L14-L15-L16-L17-L18-L19-L20-L21-L22-L23-L24-L25-L26-L27-L28-L29-L30-L31-L32-L33-L34)&gt;0.1,L34,0)</f>
        <v>0</v>
      </c>
      <c r="M35" s="117"/>
      <c r="N35" s="100"/>
      <c r="O35" s="117">
        <v>0.0</v>
      </c>
      <c r="P35" s="117">
        <v>0.0</v>
      </c>
      <c r="Q35" s="117"/>
      <c r="R35" s="117"/>
      <c r="S35" s="117">
        <v>0.0</v>
      </c>
      <c r="T35" s="117">
        <v>0.0</v>
      </c>
      <c r="U35" s="117">
        <v>0.0</v>
      </c>
      <c r="V35" s="117">
        <v>0.0</v>
      </c>
      <c r="W35" s="117">
        <v>0.0</v>
      </c>
      <c r="X35" s="117"/>
      <c r="Y35" s="117"/>
      <c r="Z35" s="117"/>
      <c r="AA35" s="100">
        <f t="shared" ref="AA35:AH35" si="50">if($K35=$F$4,AA$3,0)</f>
        <v>0</v>
      </c>
      <c r="AB35" s="100">
        <f t="shared" si="50"/>
        <v>0</v>
      </c>
      <c r="AC35" s="100">
        <f t="shared" si="50"/>
        <v>0</v>
      </c>
      <c r="AD35" s="100">
        <f t="shared" si="50"/>
        <v>0</v>
      </c>
      <c r="AE35" s="100">
        <f t="shared" si="50"/>
        <v>0</v>
      </c>
      <c r="AF35" s="100">
        <f t="shared" si="50"/>
        <v>0</v>
      </c>
      <c r="AG35" s="100">
        <f t="shared" si="50"/>
        <v>0</v>
      </c>
      <c r="AH35" s="100">
        <f t="shared" si="50"/>
        <v>0</v>
      </c>
    </row>
    <row r="36">
      <c r="A36" s="64"/>
      <c r="B36" s="276"/>
      <c r="C36" s="188"/>
      <c r="D36" s="189"/>
      <c r="E36" s="78"/>
      <c r="F36" s="79">
        <v>31.0</v>
      </c>
      <c r="G36" s="335">
        <f t="shared" si="5"/>
        <v>0</v>
      </c>
      <c r="H36" s="86">
        <f t="shared" si="8"/>
        <v>67420</v>
      </c>
      <c r="I36" s="88">
        <f t="shared" si="6"/>
        <v>0</v>
      </c>
      <c r="J36" s="71"/>
      <c r="K36" s="89">
        <v>31.0</v>
      </c>
      <c r="L36" s="117">
        <f>if((L3-L6-L7-L8-L9-L10-L11-L12-L13-L14-L15-L16-L17-L18-L19-L20-L21-L22-L23-L24-L25-L26-L27-L28-L29-L30-L31-L32-L33-L34-L35)&gt;0.1,L35,0)</f>
        <v>0</v>
      </c>
      <c r="M36" s="117"/>
      <c r="N36" s="100"/>
      <c r="O36" s="117">
        <v>0.0</v>
      </c>
      <c r="P36" s="117">
        <v>0.0</v>
      </c>
      <c r="Q36" s="117"/>
      <c r="R36" s="117"/>
      <c r="S36" s="117">
        <v>0.0</v>
      </c>
      <c r="T36" s="117">
        <v>0.0</v>
      </c>
      <c r="U36" s="117">
        <v>0.0</v>
      </c>
      <c r="V36" s="117">
        <v>0.0</v>
      </c>
      <c r="W36" s="117">
        <v>0.0</v>
      </c>
      <c r="X36" s="117"/>
      <c r="Y36" s="117"/>
      <c r="Z36" s="117"/>
      <c r="AA36" s="100">
        <f t="shared" ref="AA36:AH36" si="51">if($K36=$F$4,AA$3,0)</f>
        <v>0</v>
      </c>
      <c r="AB36" s="100">
        <f t="shared" si="51"/>
        <v>0</v>
      </c>
      <c r="AC36" s="100">
        <f t="shared" si="51"/>
        <v>0</v>
      </c>
      <c r="AD36" s="100">
        <f t="shared" si="51"/>
        <v>0</v>
      </c>
      <c r="AE36" s="100">
        <f t="shared" si="51"/>
        <v>0</v>
      </c>
      <c r="AF36" s="100">
        <f t="shared" si="51"/>
        <v>0</v>
      </c>
      <c r="AG36" s="100">
        <f t="shared" si="51"/>
        <v>0</v>
      </c>
      <c r="AH36" s="100">
        <f t="shared" si="51"/>
        <v>0</v>
      </c>
    </row>
    <row r="37">
      <c r="A37" s="64"/>
      <c r="B37" s="276"/>
      <c r="C37" s="188"/>
      <c r="D37" s="277"/>
      <c r="E37" s="78"/>
      <c r="F37" s="79">
        <v>32.0</v>
      </c>
      <c r="G37" s="335">
        <f t="shared" si="5"/>
        <v>0</v>
      </c>
      <c r="H37" s="86">
        <f t="shared" si="8"/>
        <v>67420</v>
      </c>
      <c r="I37" s="88">
        <f t="shared" si="6"/>
        <v>0</v>
      </c>
      <c r="J37" s="71"/>
      <c r="K37" s="89">
        <v>32.0</v>
      </c>
      <c r="L37" s="117">
        <f>if((L3-L6-L7-L8-L9-L10-L11-L12-L13-L14-L15-L16-L17-L18-L19-L20-L21-L22-L23-L24-L25-L26-L27-L28-L29-L30-L31-L32-L33-L34-L35-L36)&gt;0.1,L36,0)</f>
        <v>0</v>
      </c>
      <c r="M37" s="117"/>
      <c r="N37" s="100"/>
      <c r="O37" s="117">
        <v>0.0</v>
      </c>
      <c r="P37" s="117">
        <v>0.0</v>
      </c>
      <c r="Q37" s="117"/>
      <c r="R37" s="117"/>
      <c r="S37" s="117">
        <v>0.0</v>
      </c>
      <c r="T37" s="117">
        <v>0.0</v>
      </c>
      <c r="U37" s="117">
        <v>0.0</v>
      </c>
      <c r="V37" s="117">
        <v>0.0</v>
      </c>
      <c r="W37" s="117">
        <v>0.0</v>
      </c>
      <c r="X37" s="117"/>
      <c r="Y37" s="117"/>
      <c r="Z37" s="117"/>
      <c r="AA37" s="100">
        <f t="shared" ref="AA37:AH37" si="52">if($K37=$F$4,AA$3,0)</f>
        <v>0</v>
      </c>
      <c r="AB37" s="100">
        <f t="shared" si="52"/>
        <v>0</v>
      </c>
      <c r="AC37" s="100">
        <f t="shared" si="52"/>
        <v>0</v>
      </c>
      <c r="AD37" s="100">
        <f t="shared" si="52"/>
        <v>0</v>
      </c>
      <c r="AE37" s="100">
        <f t="shared" si="52"/>
        <v>0</v>
      </c>
      <c r="AF37" s="100">
        <f t="shared" si="52"/>
        <v>0</v>
      </c>
      <c r="AG37" s="100">
        <f t="shared" si="52"/>
        <v>0</v>
      </c>
      <c r="AH37" s="100">
        <f t="shared" si="52"/>
        <v>0</v>
      </c>
    </row>
    <row r="38">
      <c r="A38" s="64"/>
      <c r="B38" s="276"/>
      <c r="C38" s="188"/>
      <c r="D38" s="189"/>
      <c r="E38" s="78"/>
      <c r="F38" s="79">
        <v>33.0</v>
      </c>
      <c r="G38" s="335">
        <f t="shared" si="5"/>
        <v>0</v>
      </c>
      <c r="H38" s="86">
        <f t="shared" si="8"/>
        <v>67420</v>
      </c>
      <c r="I38" s="88">
        <f t="shared" si="6"/>
        <v>0</v>
      </c>
      <c r="J38" s="71"/>
      <c r="K38" s="89">
        <v>33.0</v>
      </c>
      <c r="L38" s="100">
        <f>if((L3-L6-L7-L8-L9-L10-L11-L12-L13-L14-L15-L16-L17-L18-L19-L20-L21-L22-L23-L24-L25-L26-L27-L28-L29-L30-L31-L32-L33-L34-L35-L36-L37)&gt;0.1,L37,0)</f>
        <v>0</v>
      </c>
      <c r="M38" s="100"/>
      <c r="N38" s="100"/>
      <c r="O38" s="100">
        <f t="shared" ref="O38:P38" si="53">if((O3-O6-O10-O14-O18-O22-O26-O30-O34)&gt;0.1,O34,0)</f>
        <v>0</v>
      </c>
      <c r="P38" s="100">
        <f t="shared" si="53"/>
        <v>0</v>
      </c>
      <c r="Q38" s="100"/>
      <c r="R38" s="100"/>
      <c r="S38" s="100">
        <f t="shared" ref="S38:W38" si="54">if((S3-S6-S10-S14-S18-S22-S26-S30-S34)&gt;0.1,S34,0)</f>
        <v>0</v>
      </c>
      <c r="T38" s="100">
        <f t="shared" si="54"/>
        <v>0</v>
      </c>
      <c r="U38" s="100">
        <f t="shared" si="54"/>
        <v>0</v>
      </c>
      <c r="V38" s="100">
        <f t="shared" si="54"/>
        <v>0</v>
      </c>
      <c r="W38" s="100">
        <f t="shared" si="54"/>
        <v>0</v>
      </c>
      <c r="X38" s="100"/>
      <c r="Y38" s="100"/>
      <c r="Z38" s="100"/>
      <c r="AA38" s="100">
        <f t="shared" ref="AA38:AH38" si="55">if($K38=$F$4,AA$3,0)</f>
        <v>0</v>
      </c>
      <c r="AB38" s="100">
        <f t="shared" si="55"/>
        <v>0</v>
      </c>
      <c r="AC38" s="100">
        <f t="shared" si="55"/>
        <v>0</v>
      </c>
      <c r="AD38" s="100">
        <f t="shared" si="55"/>
        <v>0</v>
      </c>
      <c r="AE38" s="100">
        <f t="shared" si="55"/>
        <v>0</v>
      </c>
      <c r="AF38" s="100">
        <f t="shared" si="55"/>
        <v>0</v>
      </c>
      <c r="AG38" s="100">
        <f t="shared" si="55"/>
        <v>0</v>
      </c>
      <c r="AH38" s="100">
        <f t="shared" si="55"/>
        <v>0</v>
      </c>
    </row>
    <row r="39">
      <c r="A39" s="64"/>
      <c r="B39" s="276"/>
      <c r="C39" s="188"/>
      <c r="D39" s="277"/>
      <c r="E39" s="78"/>
      <c r="F39" s="79">
        <v>34.0</v>
      </c>
      <c r="G39" s="335">
        <f t="shared" si="5"/>
        <v>0</v>
      </c>
      <c r="H39" s="86">
        <f t="shared" si="8"/>
        <v>67420</v>
      </c>
      <c r="I39" s="88">
        <f t="shared" si="6"/>
        <v>0</v>
      </c>
      <c r="J39" s="71"/>
      <c r="K39" s="89">
        <v>34.0</v>
      </c>
      <c r="L39" s="117">
        <f>if((L3-L6-L7-L8-L9-L10-L11-L12-L13-L14-L15-L16-L17-L18-L19-L20-L21-L22-L23-L24-L25-L26-L27-L28-L29-L30-L31-L32-L33-L34-L35-L36-L37-L38)&gt;0.1,L38,0)</f>
        <v>0</v>
      </c>
      <c r="M39" s="117"/>
      <c r="N39" s="100"/>
      <c r="O39" s="117">
        <v>0.0</v>
      </c>
      <c r="P39" s="117">
        <v>0.0</v>
      </c>
      <c r="Q39" s="117"/>
      <c r="R39" s="117"/>
      <c r="S39" s="117">
        <v>0.0</v>
      </c>
      <c r="T39" s="117">
        <v>0.0</v>
      </c>
      <c r="U39" s="117">
        <v>0.0</v>
      </c>
      <c r="V39" s="117">
        <v>0.0</v>
      </c>
      <c r="W39" s="117">
        <v>0.0</v>
      </c>
      <c r="X39" s="117"/>
      <c r="Y39" s="117"/>
      <c r="Z39" s="117"/>
      <c r="AA39" s="100">
        <f t="shared" ref="AA39:AH39" si="56">if($K39=$F$4,AA$3,0)</f>
        <v>0</v>
      </c>
      <c r="AB39" s="100">
        <f t="shared" si="56"/>
        <v>0</v>
      </c>
      <c r="AC39" s="100">
        <f t="shared" si="56"/>
        <v>0</v>
      </c>
      <c r="AD39" s="100">
        <f t="shared" si="56"/>
        <v>0</v>
      </c>
      <c r="AE39" s="100">
        <f t="shared" si="56"/>
        <v>0</v>
      </c>
      <c r="AF39" s="100">
        <f t="shared" si="56"/>
        <v>0</v>
      </c>
      <c r="AG39" s="100">
        <f t="shared" si="56"/>
        <v>0</v>
      </c>
      <c r="AH39" s="100">
        <f t="shared" si="56"/>
        <v>0</v>
      </c>
    </row>
    <row r="40">
      <c r="A40" s="64"/>
      <c r="B40" s="276"/>
      <c r="C40" s="188"/>
      <c r="D40" s="189"/>
      <c r="E40" s="78"/>
      <c r="F40" s="79">
        <v>35.0</v>
      </c>
      <c r="G40" s="335">
        <f t="shared" si="5"/>
        <v>0</v>
      </c>
      <c r="H40" s="86">
        <f t="shared" si="8"/>
        <v>67420</v>
      </c>
      <c r="I40" s="88">
        <f t="shared" si="6"/>
        <v>0</v>
      </c>
      <c r="J40" s="71"/>
      <c r="K40" s="89">
        <v>35.0</v>
      </c>
      <c r="L40" s="117">
        <f>if((L3-L6-L7-L8-L9-L10-L11-L12-L13-L14-L15-L16-L17-L18-L19-L20-L21-L22-L23-L24-L25-L26-L27-L28-L29-L30-L31-L32-L33-L34-L35-L36-L37-L38-L39)&gt;0.1,L39,0)</f>
        <v>0</v>
      </c>
      <c r="M40" s="117"/>
      <c r="N40" s="100"/>
      <c r="O40" s="117">
        <v>0.0</v>
      </c>
      <c r="P40" s="117">
        <v>0.0</v>
      </c>
      <c r="Q40" s="117"/>
      <c r="R40" s="117"/>
      <c r="S40" s="117">
        <v>0.0</v>
      </c>
      <c r="T40" s="117">
        <v>0.0</v>
      </c>
      <c r="U40" s="117">
        <v>0.0</v>
      </c>
      <c r="V40" s="117">
        <v>0.0</v>
      </c>
      <c r="W40" s="117">
        <v>0.0</v>
      </c>
      <c r="X40" s="117"/>
      <c r="Y40" s="117"/>
      <c r="Z40" s="117"/>
      <c r="AA40" s="100">
        <f t="shared" ref="AA40:AH40" si="57">if($K40=$F$4,AA$3,0)</f>
        <v>0</v>
      </c>
      <c r="AB40" s="100">
        <f t="shared" si="57"/>
        <v>0</v>
      </c>
      <c r="AC40" s="100">
        <f t="shared" si="57"/>
        <v>0</v>
      </c>
      <c r="AD40" s="100">
        <f t="shared" si="57"/>
        <v>0</v>
      </c>
      <c r="AE40" s="100">
        <f t="shared" si="57"/>
        <v>0</v>
      </c>
      <c r="AF40" s="100">
        <f t="shared" si="57"/>
        <v>0</v>
      </c>
      <c r="AG40" s="100">
        <f t="shared" si="57"/>
        <v>0</v>
      </c>
      <c r="AH40" s="100">
        <f t="shared" si="57"/>
        <v>0</v>
      </c>
    </row>
    <row r="41">
      <c r="A41" s="64"/>
      <c r="B41" s="276"/>
      <c r="C41" s="188"/>
      <c r="D41" s="277"/>
      <c r="E41" s="78"/>
      <c r="F41" s="79">
        <v>36.0</v>
      </c>
      <c r="G41" s="335">
        <f t="shared" si="5"/>
        <v>0</v>
      </c>
      <c r="H41" s="86">
        <f t="shared" si="8"/>
        <v>67420</v>
      </c>
      <c r="I41" s="88">
        <f t="shared" si="6"/>
        <v>0</v>
      </c>
      <c r="J41" s="71"/>
      <c r="K41" s="89">
        <v>36.0</v>
      </c>
      <c r="L41" s="117">
        <f>if((L3-L6-L7-L8-L9-L10-L11-L12-L13-L14-L15-L16-L17-L18-L19-L20-L21-L22-L23-L24-L25-L26-L27-L28-L29-L30-L31-L32-L33-L34-L35-L36-L37-L38-L39-L40)&gt;0.1,L40,0)</f>
        <v>0</v>
      </c>
      <c r="M41" s="117"/>
      <c r="N41" s="100"/>
      <c r="O41" s="117">
        <v>0.0</v>
      </c>
      <c r="P41" s="117">
        <v>0.0</v>
      </c>
      <c r="Q41" s="117"/>
      <c r="R41" s="117"/>
      <c r="S41" s="117">
        <v>0.0</v>
      </c>
      <c r="T41" s="117">
        <v>0.0</v>
      </c>
      <c r="U41" s="117">
        <v>0.0</v>
      </c>
      <c r="V41" s="117">
        <v>0.0</v>
      </c>
      <c r="W41" s="117">
        <v>0.0</v>
      </c>
      <c r="X41" s="117"/>
      <c r="Y41" s="117"/>
      <c r="Z41" s="117"/>
      <c r="AA41" s="100">
        <f t="shared" ref="AA41:AH41" si="58">if($K41=$F$4,AA$3,0)</f>
        <v>0</v>
      </c>
      <c r="AB41" s="100">
        <f t="shared" si="58"/>
        <v>0</v>
      </c>
      <c r="AC41" s="100">
        <f t="shared" si="58"/>
        <v>0</v>
      </c>
      <c r="AD41" s="100">
        <f t="shared" si="58"/>
        <v>0</v>
      </c>
      <c r="AE41" s="100">
        <f t="shared" si="58"/>
        <v>0</v>
      </c>
      <c r="AF41" s="100">
        <f t="shared" si="58"/>
        <v>0</v>
      </c>
      <c r="AG41" s="100">
        <f t="shared" si="58"/>
        <v>0</v>
      </c>
      <c r="AH41" s="100">
        <f t="shared" si="58"/>
        <v>0</v>
      </c>
    </row>
    <row r="42">
      <c r="A42" s="64"/>
      <c r="B42" s="372"/>
      <c r="C42" s="373"/>
      <c r="D42" s="374"/>
      <c r="E42" s="78"/>
      <c r="F42" s="78"/>
      <c r="G42" s="375"/>
      <c r="H42" s="376"/>
      <c r="I42" s="78"/>
      <c r="J42" s="71"/>
      <c r="K42" s="46" t="s">
        <v>233</v>
      </c>
      <c r="L42" s="377">
        <f t="shared" ref="L42:AH42" si="59">sum(L6:L41)</f>
        <v>20050</v>
      </c>
      <c r="M42" s="377">
        <f t="shared" si="59"/>
        <v>200000</v>
      </c>
      <c r="N42" s="377">
        <f t="shared" si="59"/>
        <v>6000</v>
      </c>
      <c r="O42" s="377">
        <f t="shared" si="59"/>
        <v>0</v>
      </c>
      <c r="P42" s="377">
        <f t="shared" si="59"/>
        <v>9333.333333</v>
      </c>
      <c r="Q42" s="377">
        <f t="shared" si="59"/>
        <v>5833.333333</v>
      </c>
      <c r="R42" s="377">
        <f t="shared" si="59"/>
        <v>0</v>
      </c>
      <c r="S42" s="377">
        <f t="shared" si="59"/>
        <v>400</v>
      </c>
      <c r="T42" s="377">
        <f t="shared" si="59"/>
        <v>600</v>
      </c>
      <c r="U42" s="377">
        <f t="shared" si="59"/>
        <v>400</v>
      </c>
      <c r="V42" s="377">
        <f t="shared" si="59"/>
        <v>400</v>
      </c>
      <c r="W42" s="377">
        <f t="shared" si="59"/>
        <v>0</v>
      </c>
      <c r="X42" s="377">
        <f t="shared" si="59"/>
        <v>1500</v>
      </c>
      <c r="Y42" s="377">
        <f t="shared" si="59"/>
        <v>3000</v>
      </c>
      <c r="Z42" s="377">
        <f t="shared" si="59"/>
        <v>0</v>
      </c>
      <c r="AA42" s="377">
        <f t="shared" si="59"/>
        <v>1500</v>
      </c>
      <c r="AB42" s="377">
        <f t="shared" si="59"/>
        <v>500</v>
      </c>
      <c r="AC42" s="377">
        <f t="shared" si="59"/>
        <v>6000</v>
      </c>
      <c r="AD42" s="377">
        <f t="shared" si="59"/>
        <v>30</v>
      </c>
      <c r="AE42" s="377">
        <f t="shared" si="59"/>
        <v>0</v>
      </c>
      <c r="AF42" s="377">
        <f t="shared" si="59"/>
        <v>0</v>
      </c>
      <c r="AG42" s="377">
        <f t="shared" si="59"/>
        <v>0</v>
      </c>
      <c r="AH42" s="377">
        <f t="shared" si="59"/>
        <v>0</v>
      </c>
    </row>
    <row r="43">
      <c r="A43" s="64"/>
      <c r="B43" s="379" t="s">
        <v>235</v>
      </c>
      <c r="C43" s="380"/>
      <c r="D43" s="2"/>
      <c r="E43" s="382">
        <f>H43-H3</f>
        <v>44453.33333</v>
      </c>
      <c r="F43" s="2"/>
      <c r="G43" s="375" t="s">
        <v>236</v>
      </c>
      <c r="H43" s="384">
        <f t="array" ref="H43">INDEX(H6:H41,MATCH(143^143,H6:H41))</f>
        <v>67420</v>
      </c>
      <c r="I43" s="78"/>
      <c r="J43" s="71"/>
      <c r="K43" s="386" t="s">
        <v>237</v>
      </c>
      <c r="L43" s="377">
        <f t="shared" ref="L43:AH43" si="60">L3-L42</f>
        <v>0</v>
      </c>
      <c r="M43" s="377">
        <f t="shared" si="60"/>
        <v>0</v>
      </c>
      <c r="N43" s="377">
        <f t="shared" si="60"/>
        <v>0</v>
      </c>
      <c r="O43" s="377">
        <f t="shared" si="60"/>
        <v>0</v>
      </c>
      <c r="P43" s="377">
        <f t="shared" si="60"/>
        <v>0</v>
      </c>
      <c r="Q43" s="377">
        <f t="shared" si="60"/>
        <v>0</v>
      </c>
      <c r="R43" s="377">
        <f t="shared" si="60"/>
        <v>0</v>
      </c>
      <c r="S43" s="377">
        <f t="shared" si="60"/>
        <v>0</v>
      </c>
      <c r="T43" s="377">
        <f t="shared" si="60"/>
        <v>0</v>
      </c>
      <c r="U43" s="377">
        <f t="shared" si="60"/>
        <v>0</v>
      </c>
      <c r="V43" s="377">
        <f t="shared" si="60"/>
        <v>0</v>
      </c>
      <c r="W43" s="377">
        <f t="shared" si="60"/>
        <v>0</v>
      </c>
      <c r="X43" s="377">
        <f t="shared" si="60"/>
        <v>0</v>
      </c>
      <c r="Y43" s="377">
        <f t="shared" si="60"/>
        <v>0</v>
      </c>
      <c r="Z43" s="377">
        <f t="shared" si="60"/>
        <v>0</v>
      </c>
      <c r="AA43" s="377">
        <f t="shared" si="60"/>
        <v>0</v>
      </c>
      <c r="AB43" s="377">
        <f t="shared" si="60"/>
        <v>0</v>
      </c>
      <c r="AC43" s="377">
        <f t="shared" si="60"/>
        <v>0</v>
      </c>
      <c r="AD43" s="377">
        <f t="shared" si="60"/>
        <v>0</v>
      </c>
      <c r="AE43" s="377">
        <f t="shared" si="60"/>
        <v>0</v>
      </c>
      <c r="AF43" s="377">
        <f t="shared" si="60"/>
        <v>0</v>
      </c>
      <c r="AG43" s="377">
        <f t="shared" si="60"/>
        <v>0</v>
      </c>
      <c r="AH43" s="377">
        <f t="shared" si="60"/>
        <v>0</v>
      </c>
    </row>
    <row r="44">
      <c r="A44" s="389"/>
      <c r="B44" s="390"/>
      <c r="C44" s="25"/>
      <c r="D44" s="392"/>
      <c r="E44" s="390"/>
      <c r="F44" s="392"/>
      <c r="G44" s="393"/>
      <c r="H44" s="393"/>
      <c r="I44" s="394"/>
      <c r="J44" s="395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</sheetData>
  <mergeCells count="25">
    <mergeCell ref="AG1:AG2"/>
    <mergeCell ref="AH1:AH2"/>
    <mergeCell ref="Q1:Q2"/>
    <mergeCell ref="R1:R2"/>
    <mergeCell ref="S1:S2"/>
    <mergeCell ref="T1:W1"/>
    <mergeCell ref="X1:Z1"/>
    <mergeCell ref="AA1:AE1"/>
    <mergeCell ref="AF1:AF2"/>
    <mergeCell ref="A1:J1"/>
    <mergeCell ref="K1:K2"/>
    <mergeCell ref="L1:L2"/>
    <mergeCell ref="M1:M2"/>
    <mergeCell ref="N1:N2"/>
    <mergeCell ref="O1:O2"/>
    <mergeCell ref="P1:P2"/>
    <mergeCell ref="G43:G44"/>
    <mergeCell ref="H43:H44"/>
    <mergeCell ref="A2:J2"/>
    <mergeCell ref="B3:B4"/>
    <mergeCell ref="C3:D4"/>
    <mergeCell ref="G3:G4"/>
    <mergeCell ref="H3:H4"/>
    <mergeCell ref="B43:D44"/>
    <mergeCell ref="E43:F44"/>
  </mergeCells>
  <conditionalFormatting sqref="G6:H41">
    <cfRule type="cellIs" dxfId="0" priority="1" operator="lessThan">
      <formula>0</formula>
    </cfRule>
  </conditionalFormatting>
  <conditionalFormatting sqref="L43:AH43">
    <cfRule type="cellIs" dxfId="1" priority="2" operator="lessThan">
      <formula>0</formula>
    </cfRule>
  </conditionalFormatting>
  <conditionalFormatting sqref="E43:F44">
    <cfRule type="cellIs" dxfId="1" priority="3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4.57"/>
    <col customWidth="1" min="5" max="5" width="6.29"/>
    <col customWidth="1" min="7" max="7" width="36.14"/>
    <col customWidth="1" min="8" max="8" width="21.14"/>
    <col customWidth="1" min="9" max="9" width="18.29"/>
    <col customWidth="1" min="10" max="10" width="2.57"/>
    <col customWidth="1" min="11" max="13" width="22.0"/>
    <col customWidth="1" min="14" max="14" width="23.0"/>
    <col customWidth="1" min="15" max="25" width="22.0"/>
    <col customWidth="1" min="26" max="26" width="25.71"/>
    <col customWidth="1" min="27" max="34" width="22.0"/>
  </cols>
  <sheetData>
    <row r="1" ht="57.7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6"/>
      <c r="K1" s="9" t="s">
        <v>3</v>
      </c>
      <c r="L1" s="10" t="s">
        <v>4</v>
      </c>
      <c r="M1" s="10" t="s">
        <v>7</v>
      </c>
      <c r="N1" s="12" t="s">
        <v>8</v>
      </c>
      <c r="O1" s="12" t="s">
        <v>9</v>
      </c>
      <c r="P1" s="12" t="s">
        <v>10</v>
      </c>
      <c r="Q1" s="13" t="s">
        <v>11</v>
      </c>
      <c r="R1" s="13" t="s">
        <v>12</v>
      </c>
      <c r="S1" s="13" t="s">
        <v>13</v>
      </c>
      <c r="T1" s="14" t="s">
        <v>14</v>
      </c>
      <c r="U1" s="15"/>
      <c r="V1" s="15"/>
      <c r="W1" s="17"/>
      <c r="X1" s="18" t="s">
        <v>16</v>
      </c>
      <c r="Y1" s="19"/>
      <c r="Z1" s="20"/>
      <c r="AA1" s="18" t="s">
        <v>17</v>
      </c>
      <c r="AB1" s="19"/>
      <c r="AC1" s="19"/>
      <c r="AD1" s="19"/>
      <c r="AE1" s="20"/>
      <c r="AF1" s="13" t="s">
        <v>19</v>
      </c>
      <c r="AG1" s="13" t="s">
        <v>20</v>
      </c>
      <c r="AH1" s="13" t="s">
        <v>21</v>
      </c>
    </row>
    <row r="2">
      <c r="A2" s="24" t="s">
        <v>22</v>
      </c>
      <c r="B2" s="25"/>
      <c r="C2" s="25"/>
      <c r="D2" s="25"/>
      <c r="E2" s="25"/>
      <c r="F2" s="25"/>
      <c r="G2" s="25"/>
      <c r="H2" s="25"/>
      <c r="I2" s="25"/>
      <c r="J2" s="26"/>
      <c r="K2" s="27"/>
      <c r="L2" s="27"/>
      <c r="M2" s="27"/>
      <c r="N2" s="27"/>
      <c r="O2" s="27"/>
      <c r="P2" s="27"/>
      <c r="Q2" s="27"/>
      <c r="R2" s="27"/>
      <c r="S2" s="27"/>
      <c r="T2" s="29" t="s">
        <v>24</v>
      </c>
      <c r="U2" s="29" t="s">
        <v>25</v>
      </c>
      <c r="V2" s="29" t="s">
        <v>26</v>
      </c>
      <c r="W2" s="29" t="s">
        <v>27</v>
      </c>
      <c r="X2" s="29" t="s">
        <v>28</v>
      </c>
      <c r="Y2" s="29" t="s">
        <v>30</v>
      </c>
      <c r="Z2" s="29" t="s">
        <v>31</v>
      </c>
      <c r="AA2" s="29" t="s">
        <v>28</v>
      </c>
      <c r="AB2" s="29" t="s">
        <v>32</v>
      </c>
      <c r="AC2" s="29" t="s">
        <v>34</v>
      </c>
      <c r="AD2" s="29" t="s">
        <v>35</v>
      </c>
      <c r="AE2" s="29" t="s">
        <v>36</v>
      </c>
      <c r="AF2" s="27"/>
      <c r="AG2" s="27"/>
      <c r="AH2" s="27"/>
    </row>
    <row r="3">
      <c r="A3" s="33"/>
      <c r="B3" s="34" t="s">
        <v>39</v>
      </c>
      <c r="C3" s="36">
        <f>sum(D6:D43)</f>
        <v>300000</v>
      </c>
      <c r="D3" s="4"/>
      <c r="E3" s="38"/>
      <c r="F3" s="39" t="s">
        <v>44</v>
      </c>
      <c r="G3" s="41" t="s">
        <v>45</v>
      </c>
      <c r="H3" s="43">
        <f>'Aquisitions Deal Analyzer'!H39</f>
        <v>22966.66667</v>
      </c>
      <c r="I3" s="44" t="s">
        <v>49</v>
      </c>
      <c r="J3" s="45"/>
      <c r="K3" s="46" t="s">
        <v>50</v>
      </c>
      <c r="L3" s="47">
        <f>'Aquisitions Deal Analyzer'!E12</f>
        <v>20050</v>
      </c>
      <c r="M3" s="47">
        <f>'Aquisitions Deal Analyzer'!E11</f>
        <v>200000</v>
      </c>
      <c r="N3" s="47">
        <f>'Aquisitions Deal Analyzer'!F20</f>
        <v>6000</v>
      </c>
      <c r="O3" s="47">
        <f>'Aquisitions Deal Analyzer'!F21</f>
        <v>0</v>
      </c>
      <c r="P3" s="47">
        <f>'Aquisitions Deal Analyzer'!F22</f>
        <v>9333.333333</v>
      </c>
      <c r="Q3" s="47">
        <f>'Aquisitions Deal Analyzer'!K19</f>
        <v>5833.333333</v>
      </c>
      <c r="R3" s="47">
        <f>'Aquisitions Deal Analyzer'!K20</f>
        <v>0</v>
      </c>
      <c r="S3" s="47">
        <f>'Aquisitions Deal Analyzer'!K21</f>
        <v>400</v>
      </c>
      <c r="T3" s="47">
        <f>'Aquisitions Deal Analyzer'!K23</f>
        <v>600</v>
      </c>
      <c r="U3" s="47">
        <f>'Aquisitions Deal Analyzer'!K24</f>
        <v>400</v>
      </c>
      <c r="V3" s="47">
        <f>'Aquisitions Deal Analyzer'!K25</f>
        <v>400</v>
      </c>
      <c r="W3" s="47">
        <f>'Aquisitions Deal Analyzer'!K26</f>
        <v>0</v>
      </c>
      <c r="X3" s="47">
        <f>'Aquisitions Deal Analyzer'!F37</f>
        <v>1500</v>
      </c>
      <c r="Y3" s="47">
        <f>'Aquisitions Deal Analyzer'!F38</f>
        <v>3000</v>
      </c>
      <c r="Z3" s="47">
        <f>'Aquisitions Deal Analyzer'!F39</f>
        <v>0</v>
      </c>
      <c r="AA3" s="47">
        <f>'Aquisitions Deal Analyzer'!F42</f>
        <v>1500</v>
      </c>
      <c r="AB3" s="47">
        <f>'Aquisitions Deal Analyzer'!F43</f>
        <v>500</v>
      </c>
      <c r="AC3" s="47">
        <f>'Aquisitions Deal Analyzer'!F44</f>
        <v>6000</v>
      </c>
      <c r="AD3" s="47">
        <f>'Aquisitions Deal Analyzer'!F45</f>
        <v>30</v>
      </c>
      <c r="AE3" s="47">
        <f>'Aquisitions Deal Analyzer'!F46</f>
        <v>0</v>
      </c>
      <c r="AF3" s="47">
        <f>'Aquisitions Deal Analyzer'!F47</f>
        <v>0</v>
      </c>
      <c r="AG3" s="47">
        <f>'Aquisitions Deal Analyzer'!F48</f>
        <v>0</v>
      </c>
      <c r="AH3" s="47">
        <f>'Aquisitions Deal Analyzer'!F49</f>
        <v>0</v>
      </c>
    </row>
    <row r="4">
      <c r="A4" s="64"/>
      <c r="F4" s="66">
        <f>'Aquisitions Deal Analyzer'!E9*4</f>
        <v>16</v>
      </c>
      <c r="G4" s="8"/>
      <c r="H4" s="67"/>
      <c r="I4" s="70">
        <f>sum(I6:I41)</f>
        <v>255546.6667</v>
      </c>
      <c r="J4" s="71"/>
      <c r="K4" s="46" t="s">
        <v>61</v>
      </c>
      <c r="L4" s="72" t="s">
        <v>62</v>
      </c>
      <c r="M4" s="72" t="s">
        <v>63</v>
      </c>
      <c r="N4" s="73" t="s">
        <v>63</v>
      </c>
      <c r="O4" s="72" t="s">
        <v>63</v>
      </c>
      <c r="P4" s="72" t="s">
        <v>64</v>
      </c>
      <c r="Q4" s="72" t="s">
        <v>63</v>
      </c>
      <c r="R4" s="72" t="s">
        <v>63</v>
      </c>
      <c r="S4" s="72" t="s">
        <v>64</v>
      </c>
      <c r="T4" s="72" t="s">
        <v>64</v>
      </c>
      <c r="U4" s="72" t="s">
        <v>64</v>
      </c>
      <c r="V4" s="72" t="s">
        <v>64</v>
      </c>
      <c r="W4" s="72" t="s">
        <v>64</v>
      </c>
      <c r="X4" s="72" t="s">
        <v>63</v>
      </c>
      <c r="Y4" s="72" t="s">
        <v>63</v>
      </c>
      <c r="Z4" s="72" t="s">
        <v>63</v>
      </c>
      <c r="AA4" s="72" t="s">
        <v>63</v>
      </c>
      <c r="AB4" s="72" t="s">
        <v>63</v>
      </c>
      <c r="AC4" s="72" t="s">
        <v>63</v>
      </c>
      <c r="AD4" s="72" t="s">
        <v>63</v>
      </c>
      <c r="AE4" s="72" t="s">
        <v>63</v>
      </c>
      <c r="AF4" s="72" t="s">
        <v>63</v>
      </c>
      <c r="AG4" s="72" t="s">
        <v>63</v>
      </c>
      <c r="AH4" s="72" t="s">
        <v>63</v>
      </c>
    </row>
    <row r="5">
      <c r="A5" s="64"/>
      <c r="B5" s="75" t="s">
        <v>65</v>
      </c>
      <c r="C5" s="76" t="s">
        <v>67</v>
      </c>
      <c r="D5" s="77" t="s">
        <v>68</v>
      </c>
      <c r="E5" s="78"/>
      <c r="F5" s="79" t="s">
        <v>67</v>
      </c>
      <c r="G5" s="79" t="s">
        <v>69</v>
      </c>
      <c r="H5" s="80" t="s">
        <v>70</v>
      </c>
      <c r="I5" s="79" t="s">
        <v>71</v>
      </c>
      <c r="J5" s="71"/>
      <c r="K5" s="81" t="s">
        <v>67</v>
      </c>
      <c r="L5" s="78"/>
      <c r="M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>
      <c r="A6" s="64"/>
      <c r="B6" s="82" t="s">
        <v>72</v>
      </c>
      <c r="C6" s="83">
        <v>1.0</v>
      </c>
      <c r="D6" s="84">
        <f>'Aquisitions Deal Analyzer'!E11</f>
        <v>200000</v>
      </c>
      <c r="E6" s="78"/>
      <c r="F6" s="79">
        <v>1.0</v>
      </c>
      <c r="G6" s="85">
        <f t="shared" ref="G6:G41" si="5">sumif($C$6:$C44,F6,$D$6:$D44)</f>
        <v>206683.3333</v>
      </c>
      <c r="H6" s="86">
        <f>H4+H3-I6+G6</f>
        <v>9280.208333</v>
      </c>
      <c r="I6" s="88">
        <f t="shared" ref="I6:I41" si="6">sum(L6:AH6)</f>
        <v>220369.7917</v>
      </c>
      <c r="J6" s="71"/>
      <c r="K6" s="89">
        <v>1.0</v>
      </c>
      <c r="L6" s="90">
        <f>L3/(F4)</f>
        <v>1253.125</v>
      </c>
      <c r="M6" s="90">
        <f t="shared" ref="M6:N6" si="1">M3</f>
        <v>200000</v>
      </c>
      <c r="N6" s="93">
        <f t="shared" si="1"/>
        <v>6000</v>
      </c>
      <c r="O6" s="90">
        <f>O3/('Aquisitions Deal Analyzer'!$E$9)</f>
        <v>0</v>
      </c>
      <c r="P6" s="90">
        <f>P3/('Aquisitions Deal Analyzer'!$E$9)</f>
        <v>2333.333333</v>
      </c>
      <c r="Q6" s="90">
        <f t="shared" ref="Q6:R6" si="2">Q3</f>
        <v>5833.333333</v>
      </c>
      <c r="R6" s="90">
        <f t="shared" si="2"/>
        <v>0</v>
      </c>
      <c r="S6" s="90">
        <f>S3/('Aquisitions Deal Analyzer'!$E$9)</f>
        <v>100</v>
      </c>
      <c r="T6" s="90">
        <f>T3/('Aquisitions Deal Analyzer'!$E$9)</f>
        <v>150</v>
      </c>
      <c r="U6" s="90">
        <f>U3/('Aquisitions Deal Analyzer'!$E$9)</f>
        <v>100</v>
      </c>
      <c r="V6" s="90">
        <f>V3/('Aquisitions Deal Analyzer'!$E$9)</f>
        <v>100</v>
      </c>
      <c r="W6" s="90">
        <f>W3/('Aquisitions Deal Analyzer'!$E$9)</f>
        <v>0</v>
      </c>
      <c r="X6" s="90">
        <f t="shared" ref="X6:Z6" si="3">X3</f>
        <v>1500</v>
      </c>
      <c r="Y6" s="90">
        <f t="shared" si="3"/>
        <v>3000</v>
      </c>
      <c r="Z6" s="90">
        <f t="shared" si="3"/>
        <v>0</v>
      </c>
      <c r="AA6" s="100">
        <f t="shared" ref="AA6:AH6" si="4">if($K6=$F$4,AA$3,0)</f>
        <v>0</v>
      </c>
      <c r="AB6" s="100">
        <f t="shared" si="4"/>
        <v>0</v>
      </c>
      <c r="AC6" s="100">
        <f t="shared" si="4"/>
        <v>0</v>
      </c>
      <c r="AD6" s="100">
        <f t="shared" si="4"/>
        <v>0</v>
      </c>
      <c r="AE6" s="100">
        <f t="shared" si="4"/>
        <v>0</v>
      </c>
      <c r="AF6" s="100">
        <f t="shared" si="4"/>
        <v>0</v>
      </c>
      <c r="AG6" s="100">
        <f t="shared" si="4"/>
        <v>0</v>
      </c>
      <c r="AH6" s="100">
        <f t="shared" si="4"/>
        <v>0</v>
      </c>
    </row>
    <row r="7">
      <c r="A7" s="64"/>
      <c r="B7" s="82" t="s">
        <v>76</v>
      </c>
      <c r="C7" s="83">
        <f t="shared" ref="C7:C9" si="8">roundup($F$4*E7,0)</f>
        <v>1</v>
      </c>
      <c r="D7" s="84">
        <f>'Aquisitions Deal Analyzer'!$E$12/3</f>
        <v>6683.333333</v>
      </c>
      <c r="E7" s="103">
        <v>0.01</v>
      </c>
      <c r="F7" s="79">
        <v>2.0</v>
      </c>
      <c r="G7" s="85">
        <f t="shared" si="5"/>
        <v>0</v>
      </c>
      <c r="H7" s="86">
        <f t="shared" ref="H7:H41" si="9">H6-I7+G7</f>
        <v>8027.083333</v>
      </c>
      <c r="I7" s="88">
        <f t="shared" si="6"/>
        <v>1253.125</v>
      </c>
      <c r="J7" s="71"/>
      <c r="K7" s="89">
        <v>2.0</v>
      </c>
      <c r="L7" s="116">
        <f>if((L3-L6)&gt;0.1,L6,0)</f>
        <v>1253.125</v>
      </c>
      <c r="M7" s="117"/>
      <c r="N7" s="120"/>
      <c r="O7" s="117">
        <v>0.0</v>
      </c>
      <c r="P7" s="117">
        <v>0.0</v>
      </c>
      <c r="Q7" s="117"/>
      <c r="R7" s="117"/>
      <c r="S7" s="117">
        <v>0.0</v>
      </c>
      <c r="T7" s="117">
        <v>0.0</v>
      </c>
      <c r="U7" s="117">
        <v>0.0</v>
      </c>
      <c r="V7" s="117">
        <v>0.0</v>
      </c>
      <c r="W7" s="117">
        <v>0.0</v>
      </c>
      <c r="X7" s="117"/>
      <c r="Y7" s="117"/>
      <c r="Z7" s="117"/>
      <c r="AA7" s="100">
        <f t="shared" ref="AA7:AH7" si="7">if($K7=$F$4,AA$3,0)</f>
        <v>0</v>
      </c>
      <c r="AB7" s="100">
        <f t="shared" si="7"/>
        <v>0</v>
      </c>
      <c r="AC7" s="100">
        <f t="shared" si="7"/>
        <v>0</v>
      </c>
      <c r="AD7" s="100">
        <f t="shared" si="7"/>
        <v>0</v>
      </c>
      <c r="AE7" s="100">
        <f t="shared" si="7"/>
        <v>0</v>
      </c>
      <c r="AF7" s="100">
        <f t="shared" si="7"/>
        <v>0</v>
      </c>
      <c r="AG7" s="100">
        <f t="shared" si="7"/>
        <v>0</v>
      </c>
      <c r="AH7" s="100">
        <f t="shared" si="7"/>
        <v>0</v>
      </c>
    </row>
    <row r="8">
      <c r="A8" s="64"/>
      <c r="B8" s="82" t="s">
        <v>89</v>
      </c>
      <c r="C8" s="83">
        <f t="shared" si="8"/>
        <v>6</v>
      </c>
      <c r="D8" s="84">
        <f>'Aquisitions Deal Analyzer'!$E$12/3</f>
        <v>6683.333333</v>
      </c>
      <c r="E8" s="103">
        <v>0.33</v>
      </c>
      <c r="F8" s="79">
        <v>3.0</v>
      </c>
      <c r="G8" s="85">
        <f t="shared" si="5"/>
        <v>0</v>
      </c>
      <c r="H8" s="86">
        <f t="shared" si="9"/>
        <v>6773.958333</v>
      </c>
      <c r="I8" s="88">
        <f t="shared" si="6"/>
        <v>1253.125</v>
      </c>
      <c r="J8" s="71"/>
      <c r="K8" s="89">
        <v>3.0</v>
      </c>
      <c r="L8" s="116">
        <f>if((L3-L6-L7)&gt;0.1,L7,0)</f>
        <v>1253.125</v>
      </c>
      <c r="M8" s="117"/>
      <c r="N8" s="120"/>
      <c r="O8" s="117">
        <v>0.0</v>
      </c>
      <c r="P8" s="117">
        <v>0.0</v>
      </c>
      <c r="Q8" s="117"/>
      <c r="R8" s="117"/>
      <c r="S8" s="117">
        <v>0.0</v>
      </c>
      <c r="T8" s="117">
        <v>0.0</v>
      </c>
      <c r="U8" s="117">
        <v>0.0</v>
      </c>
      <c r="V8" s="117">
        <v>0.0</v>
      </c>
      <c r="W8" s="117">
        <v>0.0</v>
      </c>
      <c r="X8" s="117"/>
      <c r="Y8" s="117"/>
      <c r="Z8" s="117"/>
      <c r="AA8" s="100">
        <f t="shared" ref="AA8:AH8" si="10">if($K8=$F$4,AA$3,0)</f>
        <v>0</v>
      </c>
      <c r="AB8" s="100">
        <f t="shared" si="10"/>
        <v>0</v>
      </c>
      <c r="AC8" s="100">
        <f t="shared" si="10"/>
        <v>0</v>
      </c>
      <c r="AD8" s="100">
        <f t="shared" si="10"/>
        <v>0</v>
      </c>
      <c r="AE8" s="100">
        <f t="shared" si="10"/>
        <v>0</v>
      </c>
      <c r="AF8" s="100">
        <f t="shared" si="10"/>
        <v>0</v>
      </c>
      <c r="AG8" s="100">
        <f t="shared" si="10"/>
        <v>0</v>
      </c>
      <c r="AH8" s="100">
        <f t="shared" si="10"/>
        <v>0</v>
      </c>
    </row>
    <row r="9">
      <c r="A9" s="64"/>
      <c r="B9" s="82" t="s">
        <v>103</v>
      </c>
      <c r="C9" s="83">
        <f t="shared" si="8"/>
        <v>11</v>
      </c>
      <c r="D9" s="84">
        <f>'Aquisitions Deal Analyzer'!$E$12/3</f>
        <v>6683.333333</v>
      </c>
      <c r="E9" s="103">
        <v>0.66</v>
      </c>
      <c r="F9" s="79">
        <v>4.0</v>
      </c>
      <c r="G9" s="85">
        <f t="shared" si="5"/>
        <v>0</v>
      </c>
      <c r="H9" s="86">
        <f t="shared" si="9"/>
        <v>5520.833333</v>
      </c>
      <c r="I9" s="88">
        <f t="shared" si="6"/>
        <v>1253.125</v>
      </c>
      <c r="J9" s="71"/>
      <c r="K9" s="89">
        <v>4.0</v>
      </c>
      <c r="L9" s="116">
        <f>if((L3-L6-L7-L8)&gt;0.1,L8,0)</f>
        <v>1253.125</v>
      </c>
      <c r="M9" s="117"/>
      <c r="N9" s="120"/>
      <c r="O9" s="117">
        <v>0.0</v>
      </c>
      <c r="P9" s="117">
        <v>0.0</v>
      </c>
      <c r="Q9" s="117"/>
      <c r="R9" s="117"/>
      <c r="S9" s="117">
        <v>0.0</v>
      </c>
      <c r="T9" s="117">
        <v>0.0</v>
      </c>
      <c r="U9" s="117">
        <v>0.0</v>
      </c>
      <c r="V9" s="117">
        <v>0.0</v>
      </c>
      <c r="W9" s="117">
        <v>0.0</v>
      </c>
      <c r="X9" s="117"/>
      <c r="Y9" s="117"/>
      <c r="Z9" s="117"/>
      <c r="AA9" s="100">
        <f t="shared" ref="AA9:AH9" si="11">if($K9=$F$4,AA$3,0)</f>
        <v>0</v>
      </c>
      <c r="AB9" s="100">
        <f t="shared" si="11"/>
        <v>0</v>
      </c>
      <c r="AC9" s="100">
        <f t="shared" si="11"/>
        <v>0</v>
      </c>
      <c r="AD9" s="100">
        <f t="shared" si="11"/>
        <v>0</v>
      </c>
      <c r="AE9" s="100">
        <f t="shared" si="11"/>
        <v>0</v>
      </c>
      <c r="AF9" s="100">
        <f t="shared" si="11"/>
        <v>0</v>
      </c>
      <c r="AG9" s="100">
        <f t="shared" si="11"/>
        <v>0</v>
      </c>
      <c r="AH9" s="100">
        <f t="shared" si="11"/>
        <v>0</v>
      </c>
    </row>
    <row r="10">
      <c r="A10" s="64"/>
      <c r="B10" s="82" t="s">
        <v>108</v>
      </c>
      <c r="C10" s="83">
        <f>F4</f>
        <v>16</v>
      </c>
      <c r="D10" s="84">
        <f>'Aquisitions Deal Analyzer'!E13</f>
        <v>300000</v>
      </c>
      <c r="E10" s="78"/>
      <c r="F10" s="79">
        <v>5.0</v>
      </c>
      <c r="G10" s="85">
        <f t="shared" si="5"/>
        <v>0</v>
      </c>
      <c r="H10" s="86">
        <f t="shared" si="9"/>
        <v>1484.375</v>
      </c>
      <c r="I10" s="88">
        <f t="shared" si="6"/>
        <v>4036.458333</v>
      </c>
      <c r="J10" s="71"/>
      <c r="K10" s="89">
        <v>5.0</v>
      </c>
      <c r="L10" s="90">
        <f>if((L3-L6-L7-L8-L9)&gt;0.1,L9,0)</f>
        <v>1253.125</v>
      </c>
      <c r="M10" s="100"/>
      <c r="N10" s="100"/>
      <c r="O10" s="100">
        <f t="shared" ref="O10:P10" si="12">if((O3-O6)&gt;0.1,O6,0)</f>
        <v>0</v>
      </c>
      <c r="P10" s="90">
        <f t="shared" si="12"/>
        <v>2333.333333</v>
      </c>
      <c r="Q10" s="100"/>
      <c r="R10" s="100"/>
      <c r="S10" s="90">
        <f t="shared" ref="S10:W10" si="13">if((S3-S6)&gt;0.1,S6,0)</f>
        <v>100</v>
      </c>
      <c r="T10" s="90">
        <f t="shared" si="13"/>
        <v>150</v>
      </c>
      <c r="U10" s="90">
        <f t="shared" si="13"/>
        <v>100</v>
      </c>
      <c r="V10" s="90">
        <f t="shared" si="13"/>
        <v>100</v>
      </c>
      <c r="W10" s="100">
        <f t="shared" si="13"/>
        <v>0</v>
      </c>
      <c r="X10" s="100"/>
      <c r="Y10" s="100"/>
      <c r="Z10" s="100"/>
      <c r="AA10" s="100">
        <f t="shared" ref="AA10:AH10" si="14">if($K10=$F$4,AA$3,0)</f>
        <v>0</v>
      </c>
      <c r="AB10" s="100">
        <f t="shared" si="14"/>
        <v>0</v>
      </c>
      <c r="AC10" s="100">
        <f t="shared" si="14"/>
        <v>0</v>
      </c>
      <c r="AD10" s="100">
        <f t="shared" si="14"/>
        <v>0</v>
      </c>
      <c r="AE10" s="100">
        <f t="shared" si="14"/>
        <v>0</v>
      </c>
      <c r="AF10" s="100">
        <f t="shared" si="14"/>
        <v>0</v>
      </c>
      <c r="AG10" s="100">
        <f t="shared" si="14"/>
        <v>0</v>
      </c>
      <c r="AH10" s="100">
        <f t="shared" si="14"/>
        <v>0</v>
      </c>
    </row>
    <row r="11">
      <c r="A11" s="64"/>
      <c r="B11" s="82" t="s">
        <v>121</v>
      </c>
      <c r="C11" s="83">
        <f>F4</f>
        <v>16</v>
      </c>
      <c r="D11" s="84">
        <f>-'Aquisitions Deal Analyzer'!E11</f>
        <v>-200000</v>
      </c>
      <c r="E11" s="78"/>
      <c r="F11" s="79">
        <v>6.0</v>
      </c>
      <c r="G11" s="85">
        <f t="shared" si="5"/>
        <v>6683.333333</v>
      </c>
      <c r="H11" s="86">
        <f t="shared" si="9"/>
        <v>6914.583333</v>
      </c>
      <c r="I11" s="88">
        <f t="shared" si="6"/>
        <v>1253.125</v>
      </c>
      <c r="J11" s="71"/>
      <c r="K11" s="89">
        <v>6.0</v>
      </c>
      <c r="L11" s="116">
        <f>if((L3-L6-L7-L8-L9-L10)&gt;0.1,L10,0)</f>
        <v>1253.125</v>
      </c>
      <c r="M11" s="117"/>
      <c r="N11" s="100"/>
      <c r="O11" s="117">
        <v>0.0</v>
      </c>
      <c r="P11" s="117">
        <v>0.0</v>
      </c>
      <c r="Q11" s="117"/>
      <c r="R11" s="117"/>
      <c r="S11" s="117">
        <v>0.0</v>
      </c>
      <c r="T11" s="117">
        <v>0.0</v>
      </c>
      <c r="U11" s="117">
        <v>0.0</v>
      </c>
      <c r="V11" s="117">
        <v>0.0</v>
      </c>
      <c r="W11" s="117">
        <v>0.0</v>
      </c>
      <c r="X11" s="117"/>
      <c r="Y11" s="117"/>
      <c r="Z11" s="117"/>
      <c r="AA11" s="100">
        <f t="shared" ref="AA11:AH11" si="15">if($K11=$F$4,AA$3,0)</f>
        <v>0</v>
      </c>
      <c r="AB11" s="100">
        <f t="shared" si="15"/>
        <v>0</v>
      </c>
      <c r="AC11" s="100">
        <f t="shared" si="15"/>
        <v>0</v>
      </c>
      <c r="AD11" s="100">
        <f t="shared" si="15"/>
        <v>0</v>
      </c>
      <c r="AE11" s="100">
        <f t="shared" si="15"/>
        <v>0</v>
      </c>
      <c r="AF11" s="100">
        <f t="shared" si="15"/>
        <v>0</v>
      </c>
      <c r="AG11" s="100">
        <f t="shared" si="15"/>
        <v>0</v>
      </c>
      <c r="AH11" s="100">
        <f t="shared" si="15"/>
        <v>0</v>
      </c>
    </row>
    <row r="12">
      <c r="A12" s="64"/>
      <c r="B12" s="82" t="s">
        <v>128</v>
      </c>
      <c r="C12" s="83">
        <f>F4</f>
        <v>16</v>
      </c>
      <c r="D12" s="84">
        <f>-'Aquisitions Deal Analyzer'!E12</f>
        <v>-20050</v>
      </c>
      <c r="E12" s="78"/>
      <c r="F12" s="79">
        <v>7.0</v>
      </c>
      <c r="G12" s="85">
        <f t="shared" si="5"/>
        <v>0</v>
      </c>
      <c r="H12" s="86">
        <f t="shared" si="9"/>
        <v>5661.458333</v>
      </c>
      <c r="I12" s="88">
        <f t="shared" si="6"/>
        <v>1253.125</v>
      </c>
      <c r="J12" s="71"/>
      <c r="K12" s="89">
        <v>7.0</v>
      </c>
      <c r="L12" s="116">
        <f>if((L3-L6-L7-L8-L9-L10-L11)&gt;0.1,L11,0)</f>
        <v>1253.125</v>
      </c>
      <c r="M12" s="117"/>
      <c r="N12" s="100"/>
      <c r="O12" s="117">
        <v>0.0</v>
      </c>
      <c r="P12" s="117">
        <v>0.0</v>
      </c>
      <c r="Q12" s="117"/>
      <c r="R12" s="117"/>
      <c r="S12" s="117">
        <v>0.0</v>
      </c>
      <c r="T12" s="117">
        <v>0.0</v>
      </c>
      <c r="U12" s="117">
        <v>0.0</v>
      </c>
      <c r="V12" s="117">
        <v>0.0</v>
      </c>
      <c r="W12" s="117">
        <v>0.0</v>
      </c>
      <c r="X12" s="117"/>
      <c r="Y12" s="117"/>
      <c r="Z12" s="117"/>
      <c r="AA12" s="100">
        <f t="shared" ref="AA12:AH12" si="16">if($K12=$F$4,AA$3,0)</f>
        <v>0</v>
      </c>
      <c r="AB12" s="100">
        <f t="shared" si="16"/>
        <v>0</v>
      </c>
      <c r="AC12" s="100">
        <f t="shared" si="16"/>
        <v>0</v>
      </c>
      <c r="AD12" s="100">
        <f t="shared" si="16"/>
        <v>0</v>
      </c>
      <c r="AE12" s="100">
        <f t="shared" si="16"/>
        <v>0</v>
      </c>
      <c r="AF12" s="100">
        <f t="shared" si="16"/>
        <v>0</v>
      </c>
      <c r="AG12" s="100">
        <f t="shared" si="16"/>
        <v>0</v>
      </c>
      <c r="AH12" s="100">
        <f t="shared" si="16"/>
        <v>0</v>
      </c>
    </row>
    <row r="13">
      <c r="A13" s="64"/>
      <c r="B13" s="82"/>
      <c r="C13" s="188"/>
      <c r="D13" s="189"/>
      <c r="E13" s="78"/>
      <c r="F13" s="79">
        <v>8.0</v>
      </c>
      <c r="G13" s="85">
        <f t="shared" si="5"/>
        <v>0</v>
      </c>
      <c r="H13" s="86">
        <f t="shared" si="9"/>
        <v>4408.333333</v>
      </c>
      <c r="I13" s="88">
        <f t="shared" si="6"/>
        <v>1253.125</v>
      </c>
      <c r="J13" s="71"/>
      <c r="K13" s="89">
        <v>8.0</v>
      </c>
      <c r="L13" s="116">
        <f>if((L3-L6-L7-L8-L9-L10-L11-L12)&gt;0.1,L12,0)</f>
        <v>1253.125</v>
      </c>
      <c r="M13" s="117"/>
      <c r="N13" s="100"/>
      <c r="O13" s="117">
        <v>0.0</v>
      </c>
      <c r="P13" s="117">
        <v>0.0</v>
      </c>
      <c r="Q13" s="117"/>
      <c r="R13" s="117"/>
      <c r="S13" s="117">
        <v>0.0</v>
      </c>
      <c r="T13" s="117">
        <v>0.0</v>
      </c>
      <c r="U13" s="117">
        <v>0.0</v>
      </c>
      <c r="V13" s="117">
        <v>0.0</v>
      </c>
      <c r="W13" s="117">
        <v>0.0</v>
      </c>
      <c r="X13" s="117"/>
      <c r="Y13" s="117"/>
      <c r="Z13" s="117"/>
      <c r="AA13" s="100">
        <f t="shared" ref="AA13:AH13" si="17">if($K13=$F$4,AA$3,0)</f>
        <v>0</v>
      </c>
      <c r="AB13" s="100">
        <f t="shared" si="17"/>
        <v>0</v>
      </c>
      <c r="AC13" s="100">
        <f t="shared" si="17"/>
        <v>0</v>
      </c>
      <c r="AD13" s="100">
        <f t="shared" si="17"/>
        <v>0</v>
      </c>
      <c r="AE13" s="100">
        <f t="shared" si="17"/>
        <v>0</v>
      </c>
      <c r="AF13" s="100">
        <f t="shared" si="17"/>
        <v>0</v>
      </c>
      <c r="AG13" s="100">
        <f t="shared" si="17"/>
        <v>0</v>
      </c>
      <c r="AH13" s="100">
        <f t="shared" si="17"/>
        <v>0</v>
      </c>
    </row>
    <row r="14">
      <c r="A14" s="64"/>
      <c r="B14" s="82" t="s">
        <v>138</v>
      </c>
      <c r="C14" s="188"/>
      <c r="D14" s="189"/>
      <c r="E14" s="78"/>
      <c r="F14" s="79">
        <v>9.0</v>
      </c>
      <c r="G14" s="85">
        <f t="shared" si="5"/>
        <v>0</v>
      </c>
      <c r="H14" s="86">
        <f t="shared" si="9"/>
        <v>371.875</v>
      </c>
      <c r="I14" s="88">
        <f t="shared" si="6"/>
        <v>4036.458333</v>
      </c>
      <c r="J14" s="71"/>
      <c r="K14" s="89">
        <v>9.0</v>
      </c>
      <c r="L14" s="90">
        <f>if((L3-L6-L7-L8-L9-L10-L11-L12-L13)&gt;0.1,L13,0)</f>
        <v>1253.125</v>
      </c>
      <c r="M14" s="100"/>
      <c r="N14" s="100"/>
      <c r="O14" s="100">
        <f t="shared" ref="O14:P14" si="18">if((O3-O6-O10)&gt;0.1,O10,0)</f>
        <v>0</v>
      </c>
      <c r="P14" s="90">
        <f t="shared" si="18"/>
        <v>2333.333333</v>
      </c>
      <c r="Q14" s="100"/>
      <c r="R14" s="100"/>
      <c r="S14" s="90">
        <f t="shared" ref="S14:W14" si="19">if((S3-S6-S10)&gt;0.1,S10,0)</f>
        <v>100</v>
      </c>
      <c r="T14" s="90">
        <f t="shared" si="19"/>
        <v>150</v>
      </c>
      <c r="U14" s="90">
        <f t="shared" si="19"/>
        <v>100</v>
      </c>
      <c r="V14" s="90">
        <f t="shared" si="19"/>
        <v>100</v>
      </c>
      <c r="W14" s="100">
        <f t="shared" si="19"/>
        <v>0</v>
      </c>
      <c r="X14" s="100"/>
      <c r="Y14" s="100"/>
      <c r="Z14" s="100"/>
      <c r="AA14" s="100">
        <f t="shared" ref="AA14:AH14" si="20">if($K14=$F$4,AA$3,0)</f>
        <v>0</v>
      </c>
      <c r="AB14" s="100">
        <f t="shared" si="20"/>
        <v>0</v>
      </c>
      <c r="AC14" s="100">
        <f t="shared" si="20"/>
        <v>0</v>
      </c>
      <c r="AD14" s="100">
        <f t="shared" si="20"/>
        <v>0</v>
      </c>
      <c r="AE14" s="100">
        <f t="shared" si="20"/>
        <v>0</v>
      </c>
      <c r="AF14" s="100">
        <f t="shared" si="20"/>
        <v>0</v>
      </c>
      <c r="AG14" s="100">
        <f t="shared" si="20"/>
        <v>0</v>
      </c>
      <c r="AH14" s="100">
        <f t="shared" si="20"/>
        <v>0</v>
      </c>
    </row>
    <row r="15">
      <c r="A15" s="64"/>
      <c r="B15" s="82" t="s">
        <v>149</v>
      </c>
      <c r="C15" s="188"/>
      <c r="D15" s="189"/>
      <c r="E15" s="78"/>
      <c r="F15" s="79">
        <v>10.0</v>
      </c>
      <c r="G15" s="85">
        <f t="shared" si="5"/>
        <v>0</v>
      </c>
      <c r="H15" s="86">
        <f t="shared" si="9"/>
        <v>-881.25</v>
      </c>
      <c r="I15" s="88">
        <f t="shared" si="6"/>
        <v>1253.125</v>
      </c>
      <c r="J15" s="71"/>
      <c r="K15" s="89">
        <v>10.0</v>
      </c>
      <c r="L15" s="116">
        <f>if((L3-L6-L7-L8-L9-L10-L11-L12-L13-L14)&gt;0.1,L14,0)</f>
        <v>1253.125</v>
      </c>
      <c r="M15" s="117"/>
      <c r="N15" s="100"/>
      <c r="O15" s="117">
        <v>0.0</v>
      </c>
      <c r="P15" s="117">
        <v>0.0</v>
      </c>
      <c r="Q15" s="117"/>
      <c r="R15" s="117"/>
      <c r="S15" s="117">
        <v>0.0</v>
      </c>
      <c r="T15" s="117">
        <v>0.0</v>
      </c>
      <c r="U15" s="117">
        <v>0.0</v>
      </c>
      <c r="V15" s="117">
        <v>0.0</v>
      </c>
      <c r="W15" s="117">
        <v>0.0</v>
      </c>
      <c r="X15" s="117"/>
      <c r="Y15" s="117"/>
      <c r="Z15" s="117"/>
      <c r="AA15" s="100">
        <f t="shared" ref="AA15:AH15" si="21">if($K15=$F$4,AA$3,0)</f>
        <v>0</v>
      </c>
      <c r="AB15" s="100">
        <f t="shared" si="21"/>
        <v>0</v>
      </c>
      <c r="AC15" s="100">
        <f t="shared" si="21"/>
        <v>0</v>
      </c>
      <c r="AD15" s="100">
        <f t="shared" si="21"/>
        <v>0</v>
      </c>
      <c r="AE15" s="100">
        <f t="shared" si="21"/>
        <v>0</v>
      </c>
      <c r="AF15" s="100">
        <f t="shared" si="21"/>
        <v>0</v>
      </c>
      <c r="AG15" s="100">
        <f t="shared" si="21"/>
        <v>0</v>
      </c>
      <c r="AH15" s="100">
        <f t="shared" si="21"/>
        <v>0</v>
      </c>
    </row>
    <row r="16">
      <c r="A16" s="64"/>
      <c r="B16" s="82" t="s">
        <v>152</v>
      </c>
      <c r="C16" s="188"/>
      <c r="D16" s="189"/>
      <c r="E16" s="78"/>
      <c r="F16" s="79">
        <v>11.0</v>
      </c>
      <c r="G16" s="85">
        <f t="shared" si="5"/>
        <v>6683.333333</v>
      </c>
      <c r="H16" s="86">
        <f t="shared" si="9"/>
        <v>4548.958333</v>
      </c>
      <c r="I16" s="88">
        <f t="shared" si="6"/>
        <v>1253.125</v>
      </c>
      <c r="J16" s="71"/>
      <c r="K16" s="89">
        <v>11.0</v>
      </c>
      <c r="L16" s="116">
        <f>if((L3-L6-L7-L8-L9-L10-L11-L12-L13-L14-15)&gt;0.1,L15,0)</f>
        <v>1253.125</v>
      </c>
      <c r="M16" s="117"/>
      <c r="N16" s="100"/>
      <c r="O16" s="117">
        <v>0.0</v>
      </c>
      <c r="P16" s="117">
        <v>0.0</v>
      </c>
      <c r="Q16" s="117"/>
      <c r="R16" s="117"/>
      <c r="S16" s="117">
        <v>0.0</v>
      </c>
      <c r="T16" s="117">
        <v>0.0</v>
      </c>
      <c r="U16" s="117">
        <v>0.0</v>
      </c>
      <c r="V16" s="117">
        <v>0.0</v>
      </c>
      <c r="W16" s="117">
        <v>0.0</v>
      </c>
      <c r="X16" s="117"/>
      <c r="Y16" s="117"/>
      <c r="Z16" s="117"/>
      <c r="AA16" s="100">
        <f t="shared" ref="AA16:AH16" si="22">if($K16=$F$4,AA$3,0)</f>
        <v>0</v>
      </c>
      <c r="AB16" s="100">
        <f t="shared" si="22"/>
        <v>0</v>
      </c>
      <c r="AC16" s="100">
        <f t="shared" si="22"/>
        <v>0</v>
      </c>
      <c r="AD16" s="100">
        <f t="shared" si="22"/>
        <v>0</v>
      </c>
      <c r="AE16" s="100">
        <f t="shared" si="22"/>
        <v>0</v>
      </c>
      <c r="AF16" s="100">
        <f t="shared" si="22"/>
        <v>0</v>
      </c>
      <c r="AG16" s="100">
        <f t="shared" si="22"/>
        <v>0</v>
      </c>
      <c r="AH16" s="100">
        <f t="shared" si="22"/>
        <v>0</v>
      </c>
    </row>
    <row r="17">
      <c r="A17" s="64"/>
      <c r="B17" s="82" t="s">
        <v>156</v>
      </c>
      <c r="C17" s="188"/>
      <c r="D17" s="189"/>
      <c r="E17" s="78"/>
      <c r="F17" s="79">
        <v>12.0</v>
      </c>
      <c r="G17" s="85">
        <f t="shared" si="5"/>
        <v>0</v>
      </c>
      <c r="H17" s="86">
        <f t="shared" si="9"/>
        <v>3295.833333</v>
      </c>
      <c r="I17" s="88">
        <f t="shared" si="6"/>
        <v>1253.125</v>
      </c>
      <c r="J17" s="71"/>
      <c r="K17" s="89">
        <v>12.0</v>
      </c>
      <c r="L17" s="116">
        <f>if((L3-L6-L7-L8-L9-L10-L11-L12-L13-L14-L15-L16)&gt;0.1,L16,0)</f>
        <v>1253.125</v>
      </c>
      <c r="M17" s="117"/>
      <c r="N17" s="100"/>
      <c r="O17" s="117">
        <v>0.0</v>
      </c>
      <c r="P17" s="117">
        <v>0.0</v>
      </c>
      <c r="Q17" s="117"/>
      <c r="R17" s="117"/>
      <c r="S17" s="117">
        <v>0.0</v>
      </c>
      <c r="T17" s="117">
        <v>0.0</v>
      </c>
      <c r="U17" s="117">
        <v>0.0</v>
      </c>
      <c r="V17" s="117">
        <v>0.0</v>
      </c>
      <c r="W17" s="117">
        <v>0.0</v>
      </c>
      <c r="X17" s="117"/>
      <c r="Y17" s="117"/>
      <c r="Z17" s="117"/>
      <c r="AA17" s="100">
        <f t="shared" ref="AA17:AH17" si="23">if($K17=$F$4,AA$3,0)</f>
        <v>0</v>
      </c>
      <c r="AB17" s="100">
        <f t="shared" si="23"/>
        <v>0</v>
      </c>
      <c r="AC17" s="100">
        <f t="shared" si="23"/>
        <v>0</v>
      </c>
      <c r="AD17" s="100">
        <f t="shared" si="23"/>
        <v>0</v>
      </c>
      <c r="AE17" s="100">
        <f t="shared" si="23"/>
        <v>0</v>
      </c>
      <c r="AF17" s="100">
        <f t="shared" si="23"/>
        <v>0</v>
      </c>
      <c r="AG17" s="100">
        <f t="shared" si="23"/>
        <v>0</v>
      </c>
      <c r="AH17" s="100">
        <f t="shared" si="23"/>
        <v>0</v>
      </c>
    </row>
    <row r="18">
      <c r="A18" s="64"/>
      <c r="B18" s="82" t="s">
        <v>160</v>
      </c>
      <c r="C18" s="188"/>
      <c r="D18" s="189"/>
      <c r="E18" s="78"/>
      <c r="F18" s="79">
        <v>13.0</v>
      </c>
      <c r="G18" s="85">
        <f t="shared" si="5"/>
        <v>0</v>
      </c>
      <c r="H18" s="86">
        <f t="shared" si="9"/>
        <v>-740.625</v>
      </c>
      <c r="I18" s="88">
        <f t="shared" si="6"/>
        <v>4036.458333</v>
      </c>
      <c r="J18" s="71"/>
      <c r="K18" s="89">
        <v>13.0</v>
      </c>
      <c r="L18" s="90">
        <f>if((L3-L6-L7-L8-L9-L10-L11-L12-L13-L14-L15-L16-L17)&gt;0.1,L17,0)</f>
        <v>1253.125</v>
      </c>
      <c r="M18" s="100"/>
      <c r="N18" s="100"/>
      <c r="O18" s="100">
        <f t="shared" ref="O18:P18" si="24">if((O3-O6-O10-O14)&gt;0.1,O14,0)</f>
        <v>0</v>
      </c>
      <c r="P18" s="90">
        <f t="shared" si="24"/>
        <v>2333.333333</v>
      </c>
      <c r="Q18" s="100"/>
      <c r="R18" s="100"/>
      <c r="S18" s="90">
        <f t="shared" ref="S18:W18" si="25">if((S3-S6-S10-S14)&gt;0.1,S14,0)</f>
        <v>100</v>
      </c>
      <c r="T18" s="90">
        <f t="shared" si="25"/>
        <v>150</v>
      </c>
      <c r="U18" s="90">
        <f t="shared" si="25"/>
        <v>100</v>
      </c>
      <c r="V18" s="90">
        <f t="shared" si="25"/>
        <v>100</v>
      </c>
      <c r="W18" s="100">
        <f t="shared" si="25"/>
        <v>0</v>
      </c>
      <c r="X18" s="100"/>
      <c r="Y18" s="100"/>
      <c r="Z18" s="100"/>
      <c r="AA18" s="100">
        <f t="shared" ref="AA18:AH18" si="26">if($K18=$F$4,AA$3,0)</f>
        <v>0</v>
      </c>
      <c r="AB18" s="100">
        <f t="shared" si="26"/>
        <v>0</v>
      </c>
      <c r="AC18" s="100">
        <f t="shared" si="26"/>
        <v>0</v>
      </c>
      <c r="AD18" s="100">
        <f t="shared" si="26"/>
        <v>0</v>
      </c>
      <c r="AE18" s="100">
        <f t="shared" si="26"/>
        <v>0</v>
      </c>
      <c r="AF18" s="100">
        <f t="shared" si="26"/>
        <v>0</v>
      </c>
      <c r="AG18" s="100">
        <f t="shared" si="26"/>
        <v>0</v>
      </c>
      <c r="AH18" s="100">
        <f t="shared" si="26"/>
        <v>0</v>
      </c>
    </row>
    <row r="19">
      <c r="A19" s="64"/>
      <c r="B19" s="82"/>
      <c r="C19" s="188"/>
      <c r="D19" s="189"/>
      <c r="E19" s="78"/>
      <c r="F19" s="79">
        <v>14.0</v>
      </c>
      <c r="G19" s="85">
        <f t="shared" si="5"/>
        <v>0</v>
      </c>
      <c r="H19" s="86">
        <f t="shared" si="9"/>
        <v>-1993.75</v>
      </c>
      <c r="I19" s="88">
        <f t="shared" si="6"/>
        <v>1253.125</v>
      </c>
      <c r="J19" s="71"/>
      <c r="K19" s="89">
        <v>14.0</v>
      </c>
      <c r="L19" s="116">
        <f>if((L3-L6-L7-L8-L9-L10-L11-L12-L13-L14-L15-L16-L17-L18)&gt;0.1,L18,0)</f>
        <v>1253.125</v>
      </c>
      <c r="M19" s="117"/>
      <c r="N19" s="100"/>
      <c r="O19" s="117">
        <v>0.0</v>
      </c>
      <c r="P19" s="117">
        <v>0.0</v>
      </c>
      <c r="Q19" s="117"/>
      <c r="R19" s="117"/>
      <c r="S19" s="117">
        <v>0.0</v>
      </c>
      <c r="T19" s="117">
        <v>0.0</v>
      </c>
      <c r="U19" s="117">
        <v>0.0</v>
      </c>
      <c r="V19" s="117">
        <v>0.0</v>
      </c>
      <c r="W19" s="117">
        <v>0.0</v>
      </c>
      <c r="X19" s="117"/>
      <c r="Y19" s="117"/>
      <c r="Z19" s="117"/>
      <c r="AA19" s="100">
        <f t="shared" ref="AA19:AH19" si="27">if($K19=$F$4,AA$3,0)</f>
        <v>0</v>
      </c>
      <c r="AB19" s="100">
        <f t="shared" si="27"/>
        <v>0</v>
      </c>
      <c r="AC19" s="100">
        <f t="shared" si="27"/>
        <v>0</v>
      </c>
      <c r="AD19" s="100">
        <f t="shared" si="27"/>
        <v>0</v>
      </c>
      <c r="AE19" s="100">
        <f t="shared" si="27"/>
        <v>0</v>
      </c>
      <c r="AF19" s="100">
        <f t="shared" si="27"/>
        <v>0</v>
      </c>
      <c r="AG19" s="100">
        <f t="shared" si="27"/>
        <v>0</v>
      </c>
      <c r="AH19" s="100">
        <f t="shared" si="27"/>
        <v>0</v>
      </c>
    </row>
    <row r="20">
      <c r="A20" s="64"/>
      <c r="B20" s="82"/>
      <c r="C20" s="188"/>
      <c r="D20" s="189"/>
      <c r="E20" s="78"/>
      <c r="F20" s="79">
        <v>15.0</v>
      </c>
      <c r="G20" s="85">
        <f t="shared" si="5"/>
        <v>0</v>
      </c>
      <c r="H20" s="86">
        <f t="shared" si="9"/>
        <v>-3246.875</v>
      </c>
      <c r="I20" s="88">
        <f t="shared" si="6"/>
        <v>1253.125</v>
      </c>
      <c r="J20" s="71"/>
      <c r="K20" s="89">
        <v>15.0</v>
      </c>
      <c r="L20" s="116">
        <f>if((L3-L6-L7-L8-L9-L10-L11-L12-L13-L14-L15-L16-L17-L18-L19)&gt;0.1,L19,0)</f>
        <v>1253.125</v>
      </c>
      <c r="M20" s="117"/>
      <c r="N20" s="100"/>
      <c r="O20" s="117">
        <v>0.0</v>
      </c>
      <c r="P20" s="117">
        <v>0.0</v>
      </c>
      <c r="Q20" s="117"/>
      <c r="R20" s="117"/>
      <c r="S20" s="117">
        <v>0.0</v>
      </c>
      <c r="T20" s="117">
        <v>0.0</v>
      </c>
      <c r="U20" s="117">
        <v>0.0</v>
      </c>
      <c r="V20" s="117">
        <v>0.0</v>
      </c>
      <c r="W20" s="117">
        <v>0.0</v>
      </c>
      <c r="X20" s="117"/>
      <c r="Y20" s="117"/>
      <c r="Z20" s="117"/>
      <c r="AA20" s="100">
        <f t="shared" ref="AA20:AH20" si="28">if($K20=$F$4,AA$3,0)</f>
        <v>0</v>
      </c>
      <c r="AB20" s="100">
        <f t="shared" si="28"/>
        <v>0</v>
      </c>
      <c r="AC20" s="100">
        <f t="shared" si="28"/>
        <v>0</v>
      </c>
      <c r="AD20" s="100">
        <f t="shared" si="28"/>
        <v>0</v>
      </c>
      <c r="AE20" s="100">
        <f t="shared" si="28"/>
        <v>0</v>
      </c>
      <c r="AF20" s="100">
        <f t="shared" si="28"/>
        <v>0</v>
      </c>
      <c r="AG20" s="100">
        <f t="shared" si="28"/>
        <v>0</v>
      </c>
      <c r="AH20" s="100">
        <f t="shared" si="28"/>
        <v>0</v>
      </c>
    </row>
    <row r="21">
      <c r="A21" s="64"/>
      <c r="B21" s="82"/>
      <c r="C21" s="188"/>
      <c r="D21" s="189"/>
      <c r="E21" s="78"/>
      <c r="F21" s="79">
        <v>16.0</v>
      </c>
      <c r="G21" s="85">
        <f t="shared" si="5"/>
        <v>79950</v>
      </c>
      <c r="H21" s="86">
        <f t="shared" si="9"/>
        <v>67420</v>
      </c>
      <c r="I21" s="88">
        <f t="shared" si="6"/>
        <v>9283.125</v>
      </c>
      <c r="J21" s="71"/>
      <c r="K21" s="89">
        <v>16.0</v>
      </c>
      <c r="L21" s="116">
        <f>if((L3-L6-L7-L8-L9-L10-L11-L12-L13-L14-L15-L16-L17-L18-L19-L20)&gt;0.1,L20,0)</f>
        <v>1253.125</v>
      </c>
      <c r="M21" s="117"/>
      <c r="N21" s="117"/>
      <c r="O21" s="117">
        <v>0.0</v>
      </c>
      <c r="P21" s="117">
        <v>0.0</v>
      </c>
      <c r="Q21" s="117"/>
      <c r="R21" s="117"/>
      <c r="S21" s="117">
        <v>0.0</v>
      </c>
      <c r="T21" s="117">
        <v>0.0</v>
      </c>
      <c r="U21" s="117">
        <v>0.0</v>
      </c>
      <c r="V21" s="117">
        <v>0.0</v>
      </c>
      <c r="W21" s="117">
        <v>0.0</v>
      </c>
      <c r="X21" s="117"/>
      <c r="Y21" s="117"/>
      <c r="Z21" s="117"/>
      <c r="AA21" s="90">
        <f t="shared" ref="AA21:AH21" si="29">if($K21=$F$4,AA$3,0)</f>
        <v>1500</v>
      </c>
      <c r="AB21" s="90">
        <f t="shared" si="29"/>
        <v>500</v>
      </c>
      <c r="AC21" s="90">
        <f t="shared" si="29"/>
        <v>6000</v>
      </c>
      <c r="AD21" s="90">
        <f t="shared" si="29"/>
        <v>30</v>
      </c>
      <c r="AE21" s="90">
        <f t="shared" si="29"/>
        <v>0</v>
      </c>
      <c r="AF21" s="90">
        <f t="shared" si="29"/>
        <v>0</v>
      </c>
      <c r="AG21" s="90">
        <f t="shared" si="29"/>
        <v>0</v>
      </c>
      <c r="AH21" s="90">
        <f t="shared" si="29"/>
        <v>0</v>
      </c>
    </row>
    <row r="22">
      <c r="A22" s="64"/>
      <c r="B22" s="82"/>
      <c r="C22" s="188"/>
      <c r="D22" s="189"/>
      <c r="E22" s="78"/>
      <c r="F22" s="79">
        <v>17.0</v>
      </c>
      <c r="G22" s="85">
        <f t="shared" si="5"/>
        <v>0</v>
      </c>
      <c r="H22" s="86">
        <f t="shared" si="9"/>
        <v>67420</v>
      </c>
      <c r="I22" s="88">
        <f t="shared" si="6"/>
        <v>0</v>
      </c>
      <c r="J22" s="71"/>
      <c r="K22" s="89">
        <v>17.0</v>
      </c>
      <c r="L22" s="100">
        <f>if((L3-L6-L7-L8-L9-L10-L11-L12-L13-L14-L15-L16-L17-L18-L19-L20-L21)&gt;0.1,L21,0)</f>
        <v>0</v>
      </c>
      <c r="M22" s="100"/>
      <c r="N22" s="100"/>
      <c r="O22" s="100">
        <f t="shared" ref="O22:P22" si="30">if((O3-O6-O10-O14-O18)&gt;0.1,O18,0)</f>
        <v>0</v>
      </c>
      <c r="P22" s="100">
        <f t="shared" si="30"/>
        <v>0</v>
      </c>
      <c r="Q22" s="100"/>
      <c r="R22" s="100"/>
      <c r="S22" s="100">
        <f t="shared" ref="S22:W22" si="31">if((S3-S6-S10-S14-S18)&gt;0.1,S18,0)</f>
        <v>0</v>
      </c>
      <c r="T22" s="100">
        <f t="shared" si="31"/>
        <v>0</v>
      </c>
      <c r="U22" s="100">
        <f t="shared" si="31"/>
        <v>0</v>
      </c>
      <c r="V22" s="100">
        <f t="shared" si="31"/>
        <v>0</v>
      </c>
      <c r="W22" s="100">
        <f t="shared" si="31"/>
        <v>0</v>
      </c>
      <c r="X22" s="100"/>
      <c r="Y22" s="100"/>
      <c r="Z22" s="100"/>
      <c r="AA22" s="100">
        <f t="shared" ref="AA22:AH22" si="32">if($K22=$F$4,AA$3,0)</f>
        <v>0</v>
      </c>
      <c r="AB22" s="100">
        <f t="shared" si="32"/>
        <v>0</v>
      </c>
      <c r="AC22" s="100">
        <f t="shared" si="32"/>
        <v>0</v>
      </c>
      <c r="AD22" s="100">
        <f t="shared" si="32"/>
        <v>0</v>
      </c>
      <c r="AE22" s="100">
        <f t="shared" si="32"/>
        <v>0</v>
      </c>
      <c r="AF22" s="100">
        <f t="shared" si="32"/>
        <v>0</v>
      </c>
      <c r="AG22" s="100">
        <f t="shared" si="32"/>
        <v>0</v>
      </c>
      <c r="AH22" s="100">
        <f t="shared" si="32"/>
        <v>0</v>
      </c>
    </row>
    <row r="23">
      <c r="A23" s="64"/>
      <c r="B23" s="82"/>
      <c r="C23" s="188"/>
      <c r="D23" s="189"/>
      <c r="E23" s="78"/>
      <c r="F23" s="79">
        <v>18.0</v>
      </c>
      <c r="G23" s="85">
        <f t="shared" si="5"/>
        <v>0</v>
      </c>
      <c r="H23" s="86">
        <f t="shared" si="9"/>
        <v>67420</v>
      </c>
      <c r="I23" s="88">
        <f t="shared" si="6"/>
        <v>0</v>
      </c>
      <c r="J23" s="71"/>
      <c r="K23" s="89">
        <v>18.0</v>
      </c>
      <c r="L23" s="117">
        <f>if((L3-L6-L7-L8-L9-L10-L11-L12-L13-L14-L15-L16-L17-L18-L19-L20-L21-L22)&gt;0.1,L22,0)</f>
        <v>0</v>
      </c>
      <c r="M23" s="117"/>
      <c r="N23" s="100"/>
      <c r="O23" s="117">
        <v>0.0</v>
      </c>
      <c r="P23" s="117">
        <v>0.0</v>
      </c>
      <c r="Q23" s="117"/>
      <c r="R23" s="117"/>
      <c r="S23" s="117">
        <v>0.0</v>
      </c>
      <c r="T23" s="117">
        <v>0.0</v>
      </c>
      <c r="U23" s="117">
        <v>0.0</v>
      </c>
      <c r="V23" s="117">
        <v>0.0</v>
      </c>
      <c r="W23" s="117">
        <v>0.0</v>
      </c>
      <c r="X23" s="117"/>
      <c r="Y23" s="117"/>
      <c r="Z23" s="117"/>
      <c r="AA23" s="100">
        <f t="shared" ref="AA23:AH23" si="33">if($K23=$F$4,AA$3,0)</f>
        <v>0</v>
      </c>
      <c r="AB23" s="100">
        <f t="shared" si="33"/>
        <v>0</v>
      </c>
      <c r="AC23" s="100">
        <f t="shared" si="33"/>
        <v>0</v>
      </c>
      <c r="AD23" s="100">
        <f t="shared" si="33"/>
        <v>0</v>
      </c>
      <c r="AE23" s="100">
        <f t="shared" si="33"/>
        <v>0</v>
      </c>
      <c r="AF23" s="100">
        <f t="shared" si="33"/>
        <v>0</v>
      </c>
      <c r="AG23" s="100">
        <f t="shared" si="33"/>
        <v>0</v>
      </c>
      <c r="AH23" s="100">
        <f t="shared" si="33"/>
        <v>0</v>
      </c>
    </row>
    <row r="24">
      <c r="A24" s="64"/>
      <c r="B24" s="82"/>
      <c r="C24" s="188"/>
      <c r="D24" s="189"/>
      <c r="E24" s="78"/>
      <c r="F24" s="79">
        <v>19.0</v>
      </c>
      <c r="G24" s="85">
        <f t="shared" si="5"/>
        <v>0</v>
      </c>
      <c r="H24" s="86">
        <f t="shared" si="9"/>
        <v>67420</v>
      </c>
      <c r="I24" s="88">
        <f t="shared" si="6"/>
        <v>0</v>
      </c>
      <c r="J24" s="71"/>
      <c r="K24" s="89">
        <v>19.0</v>
      </c>
      <c r="L24" s="117">
        <f>if((L3-L6-L7-L8-L9-L10-L11-L12-L13-L14-L15-L16-L17-L18-L19-L20-L21-L22-L23)&gt;0.1,L23,0)</f>
        <v>0</v>
      </c>
      <c r="M24" s="117"/>
      <c r="N24" s="100"/>
      <c r="O24" s="117">
        <v>0.0</v>
      </c>
      <c r="P24" s="117">
        <v>0.0</v>
      </c>
      <c r="Q24" s="117"/>
      <c r="R24" s="117"/>
      <c r="S24" s="117">
        <v>0.0</v>
      </c>
      <c r="T24" s="117">
        <v>0.0</v>
      </c>
      <c r="U24" s="117">
        <v>0.0</v>
      </c>
      <c r="V24" s="117">
        <v>0.0</v>
      </c>
      <c r="W24" s="117">
        <v>0.0</v>
      </c>
      <c r="X24" s="117"/>
      <c r="Y24" s="117"/>
      <c r="Z24" s="117"/>
      <c r="AA24" s="100">
        <f t="shared" ref="AA24:AH24" si="34">if($K24=$F$4,AA$3,0)</f>
        <v>0</v>
      </c>
      <c r="AB24" s="100">
        <f t="shared" si="34"/>
        <v>0</v>
      </c>
      <c r="AC24" s="100">
        <f t="shared" si="34"/>
        <v>0</v>
      </c>
      <c r="AD24" s="100">
        <f t="shared" si="34"/>
        <v>0</v>
      </c>
      <c r="AE24" s="100">
        <f t="shared" si="34"/>
        <v>0</v>
      </c>
      <c r="AF24" s="100">
        <f t="shared" si="34"/>
        <v>0</v>
      </c>
      <c r="AG24" s="100">
        <f t="shared" si="34"/>
        <v>0</v>
      </c>
      <c r="AH24" s="100">
        <f t="shared" si="34"/>
        <v>0</v>
      </c>
    </row>
    <row r="25">
      <c r="A25" s="64"/>
      <c r="B25" s="276"/>
      <c r="C25" s="188"/>
      <c r="D25" s="277"/>
      <c r="E25" s="78"/>
      <c r="F25" s="79">
        <v>20.0</v>
      </c>
      <c r="G25" s="85">
        <f t="shared" si="5"/>
        <v>0</v>
      </c>
      <c r="H25" s="86">
        <f t="shared" si="9"/>
        <v>67420</v>
      </c>
      <c r="I25" s="88">
        <f t="shared" si="6"/>
        <v>0</v>
      </c>
      <c r="J25" s="71"/>
      <c r="K25" s="89">
        <v>20.0</v>
      </c>
      <c r="L25" s="117">
        <f>if((L3-L6-L7-L8-L9-L10-L11-L12-L13-L14-L15-L16-L17-L18-L19-L20-L21-L22-L23-L24)&gt;0.1,L24,0)</f>
        <v>0</v>
      </c>
      <c r="M25" s="117"/>
      <c r="N25" s="100"/>
      <c r="O25" s="117">
        <v>0.0</v>
      </c>
      <c r="P25" s="117">
        <v>0.0</v>
      </c>
      <c r="Q25" s="117"/>
      <c r="R25" s="117"/>
      <c r="S25" s="117">
        <v>0.0</v>
      </c>
      <c r="T25" s="117">
        <v>0.0</v>
      </c>
      <c r="U25" s="117">
        <v>0.0</v>
      </c>
      <c r="V25" s="117">
        <v>0.0</v>
      </c>
      <c r="W25" s="117">
        <v>0.0</v>
      </c>
      <c r="X25" s="117"/>
      <c r="Y25" s="117"/>
      <c r="Z25" s="117"/>
      <c r="AA25" s="100">
        <f t="shared" ref="AA25:AH25" si="35">if($K25=$F$4,AA$3,0)</f>
        <v>0</v>
      </c>
      <c r="AB25" s="100">
        <f t="shared" si="35"/>
        <v>0</v>
      </c>
      <c r="AC25" s="100">
        <f t="shared" si="35"/>
        <v>0</v>
      </c>
      <c r="AD25" s="100">
        <f t="shared" si="35"/>
        <v>0</v>
      </c>
      <c r="AE25" s="100">
        <f t="shared" si="35"/>
        <v>0</v>
      </c>
      <c r="AF25" s="100">
        <f t="shared" si="35"/>
        <v>0</v>
      </c>
      <c r="AG25" s="100">
        <f t="shared" si="35"/>
        <v>0</v>
      </c>
      <c r="AH25" s="100">
        <f t="shared" si="35"/>
        <v>0</v>
      </c>
    </row>
    <row r="26">
      <c r="A26" s="64"/>
      <c r="B26" s="276"/>
      <c r="C26" s="188"/>
      <c r="D26" s="277"/>
      <c r="E26" s="78"/>
      <c r="F26" s="79">
        <v>21.0</v>
      </c>
      <c r="G26" s="85">
        <f t="shared" si="5"/>
        <v>0</v>
      </c>
      <c r="H26" s="86">
        <f t="shared" si="9"/>
        <v>67420</v>
      </c>
      <c r="I26" s="88">
        <f t="shared" si="6"/>
        <v>0</v>
      </c>
      <c r="J26" s="71"/>
      <c r="K26" s="89">
        <v>21.0</v>
      </c>
      <c r="L26" s="100">
        <f>if((L3-L6-L7-L8-L9-L10-L11-L12-L13-L14-L15-L16-L17-L18-L19-L20-L21-L22-L23-L24-L25)&gt;0.1,L25,0)</f>
        <v>0</v>
      </c>
      <c r="M26" s="100"/>
      <c r="N26" s="100"/>
      <c r="O26" s="100">
        <f t="shared" ref="O26:P26" si="36">if((O3-O6-O10-O14-O18-O22)&gt;0.1,O22,0)</f>
        <v>0</v>
      </c>
      <c r="P26" s="100">
        <f t="shared" si="36"/>
        <v>0</v>
      </c>
      <c r="Q26" s="100"/>
      <c r="R26" s="100"/>
      <c r="S26" s="100">
        <f t="shared" ref="S26:W26" si="37">if((S3-S6-S10-S14-S18-S22)&gt;0.1,S22,0)</f>
        <v>0</v>
      </c>
      <c r="T26" s="100">
        <f t="shared" si="37"/>
        <v>0</v>
      </c>
      <c r="U26" s="100">
        <f t="shared" si="37"/>
        <v>0</v>
      </c>
      <c r="V26" s="100">
        <f t="shared" si="37"/>
        <v>0</v>
      </c>
      <c r="W26" s="100">
        <f t="shared" si="37"/>
        <v>0</v>
      </c>
      <c r="X26" s="100"/>
      <c r="Y26" s="100"/>
      <c r="Z26" s="100"/>
      <c r="AA26" s="100">
        <f t="shared" ref="AA26:AH26" si="38">if($K26=$F$4,AA$3,0)</f>
        <v>0</v>
      </c>
      <c r="AB26" s="100">
        <f t="shared" si="38"/>
        <v>0</v>
      </c>
      <c r="AC26" s="100">
        <f t="shared" si="38"/>
        <v>0</v>
      </c>
      <c r="AD26" s="100">
        <f t="shared" si="38"/>
        <v>0</v>
      </c>
      <c r="AE26" s="100">
        <f t="shared" si="38"/>
        <v>0</v>
      </c>
      <c r="AF26" s="100">
        <f t="shared" si="38"/>
        <v>0</v>
      </c>
      <c r="AG26" s="100">
        <f t="shared" si="38"/>
        <v>0</v>
      </c>
      <c r="AH26" s="100">
        <f t="shared" si="38"/>
        <v>0</v>
      </c>
    </row>
    <row r="27">
      <c r="A27" s="64"/>
      <c r="B27" s="276"/>
      <c r="C27" s="188"/>
      <c r="D27" s="277"/>
      <c r="E27" s="78"/>
      <c r="F27" s="79">
        <v>22.0</v>
      </c>
      <c r="G27" s="85">
        <f t="shared" si="5"/>
        <v>0</v>
      </c>
      <c r="H27" s="86">
        <f t="shared" si="9"/>
        <v>67420</v>
      </c>
      <c r="I27" s="88">
        <f t="shared" si="6"/>
        <v>0</v>
      </c>
      <c r="J27" s="71"/>
      <c r="K27" s="89">
        <v>22.0</v>
      </c>
      <c r="L27" s="117">
        <f>if((L3-L6-L7-L8-L9-L10-L11-L12-L13-L14-L15-L16-L17-L18-L19-L20-L21-L22-L23-L24-L25-L26)&gt;0.1,L26,0)</f>
        <v>0</v>
      </c>
      <c r="M27" s="117"/>
      <c r="N27" s="100"/>
      <c r="O27" s="117">
        <v>0.0</v>
      </c>
      <c r="P27" s="117">
        <v>0.0</v>
      </c>
      <c r="Q27" s="117"/>
      <c r="R27" s="117"/>
      <c r="S27" s="117">
        <v>0.0</v>
      </c>
      <c r="T27" s="117">
        <v>0.0</v>
      </c>
      <c r="U27" s="117">
        <v>0.0</v>
      </c>
      <c r="V27" s="117">
        <v>0.0</v>
      </c>
      <c r="W27" s="117">
        <v>0.0</v>
      </c>
      <c r="X27" s="117"/>
      <c r="Y27" s="117"/>
      <c r="Z27" s="117"/>
      <c r="AA27" s="100">
        <f t="shared" ref="AA27:AH27" si="39">if($K27=$F$4,AA$3,0)</f>
        <v>0</v>
      </c>
      <c r="AB27" s="100">
        <f t="shared" si="39"/>
        <v>0</v>
      </c>
      <c r="AC27" s="100">
        <f t="shared" si="39"/>
        <v>0</v>
      </c>
      <c r="AD27" s="100">
        <f t="shared" si="39"/>
        <v>0</v>
      </c>
      <c r="AE27" s="100">
        <f t="shared" si="39"/>
        <v>0</v>
      </c>
      <c r="AF27" s="100">
        <f t="shared" si="39"/>
        <v>0</v>
      </c>
      <c r="AG27" s="100">
        <f t="shared" si="39"/>
        <v>0</v>
      </c>
      <c r="AH27" s="100">
        <f t="shared" si="39"/>
        <v>0</v>
      </c>
    </row>
    <row r="28">
      <c r="A28" s="64"/>
      <c r="B28" s="276"/>
      <c r="C28" s="188"/>
      <c r="D28" s="277"/>
      <c r="E28" s="78"/>
      <c r="F28" s="79">
        <v>23.0</v>
      </c>
      <c r="G28" s="85">
        <f t="shared" si="5"/>
        <v>0</v>
      </c>
      <c r="H28" s="86">
        <f t="shared" si="9"/>
        <v>67420</v>
      </c>
      <c r="I28" s="88">
        <f t="shared" si="6"/>
        <v>0</v>
      </c>
      <c r="J28" s="71"/>
      <c r="K28" s="89">
        <v>23.0</v>
      </c>
      <c r="L28" s="117">
        <f>if((L3-L6-L7-L8-L9-L10-L11-L12-L13-L14-L15-L16-L17-L18-L19-L20-L21-L22-L23-L24-L25-L26-L27)&gt;0.1,L27,0)</f>
        <v>0</v>
      </c>
      <c r="M28" s="117"/>
      <c r="N28" s="100"/>
      <c r="O28" s="117">
        <v>0.0</v>
      </c>
      <c r="P28" s="117">
        <v>0.0</v>
      </c>
      <c r="Q28" s="117"/>
      <c r="R28" s="117"/>
      <c r="S28" s="117">
        <v>0.0</v>
      </c>
      <c r="T28" s="117">
        <v>0.0</v>
      </c>
      <c r="U28" s="117">
        <v>0.0</v>
      </c>
      <c r="V28" s="117">
        <v>0.0</v>
      </c>
      <c r="W28" s="117">
        <v>0.0</v>
      </c>
      <c r="X28" s="117"/>
      <c r="Y28" s="117"/>
      <c r="Z28" s="117"/>
      <c r="AA28" s="100">
        <f t="shared" ref="AA28:AH28" si="40">if($K28=$F$4,AA$3,0)</f>
        <v>0</v>
      </c>
      <c r="AB28" s="100">
        <f t="shared" si="40"/>
        <v>0</v>
      </c>
      <c r="AC28" s="100">
        <f t="shared" si="40"/>
        <v>0</v>
      </c>
      <c r="AD28" s="100">
        <f t="shared" si="40"/>
        <v>0</v>
      </c>
      <c r="AE28" s="100">
        <f t="shared" si="40"/>
        <v>0</v>
      </c>
      <c r="AF28" s="100">
        <f t="shared" si="40"/>
        <v>0</v>
      </c>
      <c r="AG28" s="100">
        <f t="shared" si="40"/>
        <v>0</v>
      </c>
      <c r="AH28" s="100">
        <f t="shared" si="40"/>
        <v>0</v>
      </c>
    </row>
    <row r="29">
      <c r="A29" s="64"/>
      <c r="B29" s="276"/>
      <c r="C29" s="188"/>
      <c r="D29" s="277"/>
      <c r="E29" s="78"/>
      <c r="F29" s="79">
        <v>24.0</v>
      </c>
      <c r="G29" s="85">
        <f t="shared" si="5"/>
        <v>0</v>
      </c>
      <c r="H29" s="86">
        <f t="shared" si="9"/>
        <v>67420</v>
      </c>
      <c r="I29" s="88">
        <f t="shared" si="6"/>
        <v>0</v>
      </c>
      <c r="J29" s="71"/>
      <c r="K29" s="89">
        <v>24.0</v>
      </c>
      <c r="L29" s="117">
        <f>if((L3-L6-L7-L8-L9-L10-L11-L12-L13-L14-L15-L16-L17-L18-L19-L20-L21-L22-L23-L24-L25-L26-L27-L28)&gt;0.1,L28,0)</f>
        <v>0</v>
      </c>
      <c r="M29" s="117"/>
      <c r="N29" s="100"/>
      <c r="O29" s="117">
        <v>0.0</v>
      </c>
      <c r="P29" s="117">
        <v>0.0</v>
      </c>
      <c r="Q29" s="117"/>
      <c r="R29" s="117"/>
      <c r="S29" s="117">
        <v>0.0</v>
      </c>
      <c r="T29" s="117">
        <v>0.0</v>
      </c>
      <c r="U29" s="117">
        <v>0.0</v>
      </c>
      <c r="V29" s="117">
        <v>0.0</v>
      </c>
      <c r="W29" s="117">
        <v>0.0</v>
      </c>
      <c r="X29" s="117"/>
      <c r="Y29" s="117"/>
      <c r="Z29" s="117"/>
      <c r="AA29" s="100">
        <f t="shared" ref="AA29:AH29" si="41">if($K29=$F$4,AA$3,0)</f>
        <v>0</v>
      </c>
      <c r="AB29" s="100">
        <f t="shared" si="41"/>
        <v>0</v>
      </c>
      <c r="AC29" s="100">
        <f t="shared" si="41"/>
        <v>0</v>
      </c>
      <c r="AD29" s="100">
        <f t="shared" si="41"/>
        <v>0</v>
      </c>
      <c r="AE29" s="100">
        <f t="shared" si="41"/>
        <v>0</v>
      </c>
      <c r="AF29" s="100">
        <f t="shared" si="41"/>
        <v>0</v>
      </c>
      <c r="AG29" s="100">
        <f t="shared" si="41"/>
        <v>0</v>
      </c>
      <c r="AH29" s="100">
        <f t="shared" si="41"/>
        <v>0</v>
      </c>
    </row>
    <row r="30">
      <c r="A30" s="64"/>
      <c r="B30" s="276"/>
      <c r="C30" s="188"/>
      <c r="D30" s="277"/>
      <c r="E30" s="78"/>
      <c r="F30" s="79">
        <v>25.0</v>
      </c>
      <c r="G30" s="85">
        <f t="shared" si="5"/>
        <v>0</v>
      </c>
      <c r="H30" s="86">
        <f t="shared" si="9"/>
        <v>67420</v>
      </c>
      <c r="I30" s="88">
        <f t="shared" si="6"/>
        <v>0</v>
      </c>
      <c r="J30" s="71"/>
      <c r="K30" s="89">
        <v>25.0</v>
      </c>
      <c r="L30" s="100">
        <f>if((L3-L6-L7-L8-L9-L10-L11-L12-L13-L14-L15-L16-L17-L18-L19-L20-L21-L22-L23-L24-L25-L26-L27-L28-L29)&gt;0.1,L29,0)</f>
        <v>0</v>
      </c>
      <c r="M30" s="100"/>
      <c r="N30" s="100"/>
      <c r="O30" s="100">
        <f t="shared" ref="O30:P30" si="42">if((O3-O6-O10-O14-O18-O22-O26)&gt;0.1,O26,0)</f>
        <v>0</v>
      </c>
      <c r="P30" s="100">
        <f t="shared" si="42"/>
        <v>0</v>
      </c>
      <c r="Q30" s="100"/>
      <c r="R30" s="100"/>
      <c r="S30" s="100">
        <f t="shared" ref="S30:W30" si="43">if((S3-S6-S10-S14-S18-S22-S26)&gt;0.1,S26,0)</f>
        <v>0</v>
      </c>
      <c r="T30" s="100">
        <f t="shared" si="43"/>
        <v>0</v>
      </c>
      <c r="U30" s="100">
        <f t="shared" si="43"/>
        <v>0</v>
      </c>
      <c r="V30" s="100">
        <f t="shared" si="43"/>
        <v>0</v>
      </c>
      <c r="W30" s="100">
        <f t="shared" si="43"/>
        <v>0</v>
      </c>
      <c r="X30" s="100"/>
      <c r="Y30" s="100"/>
      <c r="Z30" s="100"/>
      <c r="AA30" s="100">
        <f t="shared" ref="AA30:AH30" si="44">if($K30=$F$4,AA$3,0)</f>
        <v>0</v>
      </c>
      <c r="AB30" s="100">
        <f t="shared" si="44"/>
        <v>0</v>
      </c>
      <c r="AC30" s="100">
        <f t="shared" si="44"/>
        <v>0</v>
      </c>
      <c r="AD30" s="100">
        <f t="shared" si="44"/>
        <v>0</v>
      </c>
      <c r="AE30" s="100">
        <f t="shared" si="44"/>
        <v>0</v>
      </c>
      <c r="AF30" s="100">
        <f t="shared" si="44"/>
        <v>0</v>
      </c>
      <c r="AG30" s="100">
        <f t="shared" si="44"/>
        <v>0</v>
      </c>
      <c r="AH30" s="100">
        <f t="shared" si="44"/>
        <v>0</v>
      </c>
    </row>
    <row r="31">
      <c r="A31" s="64"/>
      <c r="B31" s="276"/>
      <c r="C31" s="188"/>
      <c r="D31" s="277"/>
      <c r="E31" s="78"/>
      <c r="F31" s="79">
        <v>26.0</v>
      </c>
      <c r="G31" s="85">
        <f t="shared" si="5"/>
        <v>0</v>
      </c>
      <c r="H31" s="86">
        <f t="shared" si="9"/>
        <v>67420</v>
      </c>
      <c r="I31" s="88">
        <f t="shared" si="6"/>
        <v>0</v>
      </c>
      <c r="J31" s="71"/>
      <c r="K31" s="89">
        <v>26.0</v>
      </c>
      <c r="L31" s="117">
        <f>if((L3-L6-L7-L8-L9-L10-L11-L12-L13-L14-L15-L16-L17-L18-L19-L20-L21-L22-L23-L24-L25-L26-L27-L28-L29-L30)&gt;0.1,L30,0)</f>
        <v>0</v>
      </c>
      <c r="M31" s="117"/>
      <c r="N31" s="100"/>
      <c r="O31" s="117">
        <v>0.0</v>
      </c>
      <c r="P31" s="117">
        <v>0.0</v>
      </c>
      <c r="Q31" s="117"/>
      <c r="R31" s="117"/>
      <c r="S31" s="117">
        <v>0.0</v>
      </c>
      <c r="T31" s="117">
        <v>0.0</v>
      </c>
      <c r="U31" s="117">
        <v>0.0</v>
      </c>
      <c r="V31" s="117">
        <v>0.0</v>
      </c>
      <c r="W31" s="117">
        <v>0.0</v>
      </c>
      <c r="X31" s="117"/>
      <c r="Y31" s="117"/>
      <c r="Z31" s="117"/>
      <c r="AA31" s="100">
        <f t="shared" ref="AA31:AH31" si="45">if($K31=$F$4,AA$3,0)</f>
        <v>0</v>
      </c>
      <c r="AB31" s="100">
        <f t="shared" si="45"/>
        <v>0</v>
      </c>
      <c r="AC31" s="100">
        <f t="shared" si="45"/>
        <v>0</v>
      </c>
      <c r="AD31" s="100">
        <f t="shared" si="45"/>
        <v>0</v>
      </c>
      <c r="AE31" s="100">
        <f t="shared" si="45"/>
        <v>0</v>
      </c>
      <c r="AF31" s="100">
        <f t="shared" si="45"/>
        <v>0</v>
      </c>
      <c r="AG31" s="100">
        <f t="shared" si="45"/>
        <v>0</v>
      </c>
      <c r="AH31" s="100">
        <f t="shared" si="45"/>
        <v>0</v>
      </c>
    </row>
    <row r="32">
      <c r="A32" s="64"/>
      <c r="B32" s="276"/>
      <c r="C32" s="188"/>
      <c r="D32" s="277"/>
      <c r="E32" s="78"/>
      <c r="F32" s="79">
        <v>27.0</v>
      </c>
      <c r="G32" s="85">
        <f t="shared" si="5"/>
        <v>0</v>
      </c>
      <c r="H32" s="86">
        <f t="shared" si="9"/>
        <v>67420</v>
      </c>
      <c r="I32" s="88">
        <f t="shared" si="6"/>
        <v>0</v>
      </c>
      <c r="J32" s="71"/>
      <c r="K32" s="89">
        <v>27.0</v>
      </c>
      <c r="L32" s="117">
        <f>if((L3-L6-L7-L8-L9-L10-L11-L12-L13-L14-L15-L16-L17-L18-L19-L20-L21-L22-L23-L24-L25-L26-L27-L28-L29-L30-L31)&gt;0.1,L31,0)</f>
        <v>0</v>
      </c>
      <c r="M32" s="117"/>
      <c r="N32" s="100"/>
      <c r="O32" s="117">
        <v>0.0</v>
      </c>
      <c r="P32" s="117">
        <v>0.0</v>
      </c>
      <c r="Q32" s="117"/>
      <c r="R32" s="117"/>
      <c r="S32" s="117">
        <v>0.0</v>
      </c>
      <c r="T32" s="117">
        <v>0.0</v>
      </c>
      <c r="U32" s="117">
        <v>0.0</v>
      </c>
      <c r="V32" s="117">
        <v>0.0</v>
      </c>
      <c r="W32" s="117">
        <v>0.0</v>
      </c>
      <c r="X32" s="117"/>
      <c r="Y32" s="117"/>
      <c r="Z32" s="117"/>
      <c r="AA32" s="100">
        <f t="shared" ref="AA32:AH32" si="46">if($K32=$F$4,AA$3,0)</f>
        <v>0</v>
      </c>
      <c r="AB32" s="100">
        <f t="shared" si="46"/>
        <v>0</v>
      </c>
      <c r="AC32" s="100">
        <f t="shared" si="46"/>
        <v>0</v>
      </c>
      <c r="AD32" s="100">
        <f t="shared" si="46"/>
        <v>0</v>
      </c>
      <c r="AE32" s="100">
        <f t="shared" si="46"/>
        <v>0</v>
      </c>
      <c r="AF32" s="100">
        <f t="shared" si="46"/>
        <v>0</v>
      </c>
      <c r="AG32" s="100">
        <f t="shared" si="46"/>
        <v>0</v>
      </c>
      <c r="AH32" s="100">
        <f t="shared" si="46"/>
        <v>0</v>
      </c>
    </row>
    <row r="33">
      <c r="A33" s="64"/>
      <c r="B33" s="276"/>
      <c r="C33" s="188"/>
      <c r="D33" s="277"/>
      <c r="E33" s="78"/>
      <c r="F33" s="79">
        <v>28.0</v>
      </c>
      <c r="G33" s="85">
        <f t="shared" si="5"/>
        <v>0</v>
      </c>
      <c r="H33" s="86">
        <f t="shared" si="9"/>
        <v>67420</v>
      </c>
      <c r="I33" s="88">
        <f t="shared" si="6"/>
        <v>0</v>
      </c>
      <c r="J33" s="71"/>
      <c r="K33" s="89">
        <v>28.0</v>
      </c>
      <c r="L33" s="117">
        <f>if((L3-L6-L7-L8-L9-L10-L11-L12-L13-L14-L15-L16-L17-L18-L19-L20-L21-L22-L23-L24-L25-L26-L27-L28-L29-L30-L31-L32)&gt;0.1,L32,0)</f>
        <v>0</v>
      </c>
      <c r="M33" s="117"/>
      <c r="N33" s="100"/>
      <c r="O33" s="117">
        <v>0.0</v>
      </c>
      <c r="P33" s="117">
        <v>0.0</v>
      </c>
      <c r="Q33" s="117"/>
      <c r="R33" s="117"/>
      <c r="S33" s="117">
        <v>0.0</v>
      </c>
      <c r="T33" s="117">
        <v>0.0</v>
      </c>
      <c r="U33" s="117">
        <v>0.0</v>
      </c>
      <c r="V33" s="117">
        <v>0.0</v>
      </c>
      <c r="W33" s="117">
        <v>0.0</v>
      </c>
      <c r="X33" s="117"/>
      <c r="Y33" s="117"/>
      <c r="Z33" s="117"/>
      <c r="AA33" s="100">
        <f t="shared" ref="AA33:AH33" si="47">if($K33=$F$4,AA$3,0)</f>
        <v>0</v>
      </c>
      <c r="AB33" s="100">
        <f t="shared" si="47"/>
        <v>0</v>
      </c>
      <c r="AC33" s="100">
        <f t="shared" si="47"/>
        <v>0</v>
      </c>
      <c r="AD33" s="100">
        <f t="shared" si="47"/>
        <v>0</v>
      </c>
      <c r="AE33" s="100">
        <f t="shared" si="47"/>
        <v>0</v>
      </c>
      <c r="AF33" s="100">
        <f t="shared" si="47"/>
        <v>0</v>
      </c>
      <c r="AG33" s="100">
        <f t="shared" si="47"/>
        <v>0</v>
      </c>
      <c r="AH33" s="100">
        <f t="shared" si="47"/>
        <v>0</v>
      </c>
    </row>
    <row r="34">
      <c r="A34" s="64"/>
      <c r="B34" s="276"/>
      <c r="C34" s="188"/>
      <c r="D34" s="277"/>
      <c r="E34" s="78"/>
      <c r="F34" s="79">
        <v>29.0</v>
      </c>
      <c r="G34" s="85">
        <f t="shared" si="5"/>
        <v>0</v>
      </c>
      <c r="H34" s="86">
        <f t="shared" si="9"/>
        <v>67420</v>
      </c>
      <c r="I34" s="88">
        <f t="shared" si="6"/>
        <v>0</v>
      </c>
      <c r="J34" s="71"/>
      <c r="K34" s="89">
        <v>29.0</v>
      </c>
      <c r="L34" s="100">
        <f>if((L3-L6-L7-L8-L9-L10-L11-L12-L13-L14-L15-L16-L17-L18-L19-L20-L21-L22-L23-L24-L25-L26-L27-L28-L29-L30-L31-L32-L33)&gt;0.1,L33,0)</f>
        <v>0</v>
      </c>
      <c r="M34" s="100"/>
      <c r="N34" s="100"/>
      <c r="O34" s="100">
        <f t="shared" ref="O34:P34" si="48">if((O3-O6-O10-O14-O18-O22-O26-O30)&gt;0.1,O30,0)</f>
        <v>0</v>
      </c>
      <c r="P34" s="100">
        <f t="shared" si="48"/>
        <v>0</v>
      </c>
      <c r="Q34" s="100"/>
      <c r="R34" s="100"/>
      <c r="S34" s="100">
        <f t="shared" ref="S34:W34" si="49">if((S3-S6-S10-S14-S18-S22-S26-S30)&gt;0.1,S30,0)</f>
        <v>0</v>
      </c>
      <c r="T34" s="100">
        <f t="shared" si="49"/>
        <v>0</v>
      </c>
      <c r="U34" s="100">
        <f t="shared" si="49"/>
        <v>0</v>
      </c>
      <c r="V34" s="100">
        <f t="shared" si="49"/>
        <v>0</v>
      </c>
      <c r="W34" s="100">
        <f t="shared" si="49"/>
        <v>0</v>
      </c>
      <c r="X34" s="100"/>
      <c r="Y34" s="100"/>
      <c r="Z34" s="100"/>
      <c r="AA34" s="100">
        <f t="shared" ref="AA34:AH34" si="50">if($K34=$F$4,AA$3,0)</f>
        <v>0</v>
      </c>
      <c r="AB34" s="100">
        <f t="shared" si="50"/>
        <v>0</v>
      </c>
      <c r="AC34" s="100">
        <f t="shared" si="50"/>
        <v>0</v>
      </c>
      <c r="AD34" s="100">
        <f t="shared" si="50"/>
        <v>0</v>
      </c>
      <c r="AE34" s="100">
        <f t="shared" si="50"/>
        <v>0</v>
      </c>
      <c r="AF34" s="100">
        <f t="shared" si="50"/>
        <v>0</v>
      </c>
      <c r="AG34" s="100">
        <f t="shared" si="50"/>
        <v>0</v>
      </c>
      <c r="AH34" s="100">
        <f t="shared" si="50"/>
        <v>0</v>
      </c>
    </row>
    <row r="35">
      <c r="A35" s="64"/>
      <c r="B35" s="276"/>
      <c r="C35" s="188"/>
      <c r="D35" s="277"/>
      <c r="E35" s="78"/>
      <c r="F35" s="79">
        <v>30.0</v>
      </c>
      <c r="G35" s="85">
        <f t="shared" si="5"/>
        <v>0</v>
      </c>
      <c r="H35" s="86">
        <f t="shared" si="9"/>
        <v>67420</v>
      </c>
      <c r="I35" s="88">
        <f t="shared" si="6"/>
        <v>0</v>
      </c>
      <c r="J35" s="71"/>
      <c r="K35" s="89">
        <v>30.0</v>
      </c>
      <c r="L35" s="117">
        <f>if((L3-L6-L7-L8-L9-L10-L11-L12-L13-L14-L15-L16-L17-L18-L19-L20-L21-L22-L23-L24-L25-L26-L27-L28-L29-L30-L31-L32-L33-L34)&gt;0.1,L34,0)</f>
        <v>0</v>
      </c>
      <c r="M35" s="117"/>
      <c r="N35" s="100"/>
      <c r="O35" s="117">
        <v>0.0</v>
      </c>
      <c r="P35" s="117">
        <v>0.0</v>
      </c>
      <c r="Q35" s="117"/>
      <c r="R35" s="117"/>
      <c r="S35" s="117">
        <v>0.0</v>
      </c>
      <c r="T35" s="117">
        <v>0.0</v>
      </c>
      <c r="U35" s="117">
        <v>0.0</v>
      </c>
      <c r="V35" s="117">
        <v>0.0</v>
      </c>
      <c r="W35" s="117">
        <v>0.0</v>
      </c>
      <c r="X35" s="117"/>
      <c r="Y35" s="117"/>
      <c r="Z35" s="117"/>
      <c r="AA35" s="100">
        <f t="shared" ref="AA35:AH35" si="51">if($K35=$F$4,AA$3,0)</f>
        <v>0</v>
      </c>
      <c r="AB35" s="100">
        <f t="shared" si="51"/>
        <v>0</v>
      </c>
      <c r="AC35" s="100">
        <f t="shared" si="51"/>
        <v>0</v>
      </c>
      <c r="AD35" s="100">
        <f t="shared" si="51"/>
        <v>0</v>
      </c>
      <c r="AE35" s="100">
        <f t="shared" si="51"/>
        <v>0</v>
      </c>
      <c r="AF35" s="100">
        <f t="shared" si="51"/>
        <v>0</v>
      </c>
      <c r="AG35" s="100">
        <f t="shared" si="51"/>
        <v>0</v>
      </c>
      <c r="AH35" s="100">
        <f t="shared" si="51"/>
        <v>0</v>
      </c>
    </row>
    <row r="36">
      <c r="A36" s="64"/>
      <c r="B36" s="276"/>
      <c r="C36" s="188"/>
      <c r="D36" s="189"/>
      <c r="E36" s="78"/>
      <c r="F36" s="79">
        <v>31.0</v>
      </c>
      <c r="G36" s="335">
        <f t="shared" si="5"/>
        <v>0</v>
      </c>
      <c r="H36" s="86">
        <f t="shared" si="9"/>
        <v>67420</v>
      </c>
      <c r="I36" s="88">
        <f t="shared" si="6"/>
        <v>0</v>
      </c>
      <c r="J36" s="71"/>
      <c r="K36" s="89">
        <v>31.0</v>
      </c>
      <c r="L36" s="117">
        <f>if((L3-L6-L7-L8-L9-L10-L11-L12-L13-L14-L15-L16-L17-L18-L19-L20-L21-L22-L23-L24-L25-L26-L27-L28-L29-L30-L31-L32-L33-L34-L35)&gt;0.1,L35,0)</f>
        <v>0</v>
      </c>
      <c r="M36" s="117"/>
      <c r="N36" s="100"/>
      <c r="O36" s="117">
        <v>0.0</v>
      </c>
      <c r="P36" s="117">
        <v>0.0</v>
      </c>
      <c r="Q36" s="117"/>
      <c r="R36" s="117"/>
      <c r="S36" s="117">
        <v>0.0</v>
      </c>
      <c r="T36" s="117">
        <v>0.0</v>
      </c>
      <c r="U36" s="117">
        <v>0.0</v>
      </c>
      <c r="V36" s="117">
        <v>0.0</v>
      </c>
      <c r="W36" s="117">
        <v>0.0</v>
      </c>
      <c r="X36" s="117"/>
      <c r="Y36" s="117"/>
      <c r="Z36" s="117"/>
      <c r="AA36" s="100">
        <f t="shared" ref="AA36:AH36" si="52">if($K36=$F$4,AA$3,0)</f>
        <v>0</v>
      </c>
      <c r="AB36" s="100">
        <f t="shared" si="52"/>
        <v>0</v>
      </c>
      <c r="AC36" s="100">
        <f t="shared" si="52"/>
        <v>0</v>
      </c>
      <c r="AD36" s="100">
        <f t="shared" si="52"/>
        <v>0</v>
      </c>
      <c r="AE36" s="100">
        <f t="shared" si="52"/>
        <v>0</v>
      </c>
      <c r="AF36" s="100">
        <f t="shared" si="52"/>
        <v>0</v>
      </c>
      <c r="AG36" s="100">
        <f t="shared" si="52"/>
        <v>0</v>
      </c>
      <c r="AH36" s="100">
        <f t="shared" si="52"/>
        <v>0</v>
      </c>
    </row>
    <row r="37">
      <c r="A37" s="64"/>
      <c r="B37" s="276"/>
      <c r="C37" s="188"/>
      <c r="D37" s="277"/>
      <c r="E37" s="78"/>
      <c r="F37" s="79">
        <v>32.0</v>
      </c>
      <c r="G37" s="335">
        <f t="shared" si="5"/>
        <v>0</v>
      </c>
      <c r="H37" s="86">
        <f t="shared" si="9"/>
        <v>67420</v>
      </c>
      <c r="I37" s="88">
        <f t="shared" si="6"/>
        <v>0</v>
      </c>
      <c r="J37" s="71"/>
      <c r="K37" s="89">
        <v>32.0</v>
      </c>
      <c r="L37" s="117">
        <f>if((L3-L6-L7-L8-L9-L10-L11-L12-L13-L14-L15-L16-L17-L18-L19-L20-L21-L22-L23-L24-L25-L26-L27-L28-L29-L30-L31-L32-L33-L34-L35-L36)&gt;0.1,L36,0)</f>
        <v>0</v>
      </c>
      <c r="M37" s="117"/>
      <c r="N37" s="100"/>
      <c r="O37" s="117">
        <v>0.0</v>
      </c>
      <c r="P37" s="117">
        <v>0.0</v>
      </c>
      <c r="Q37" s="117"/>
      <c r="R37" s="117"/>
      <c r="S37" s="117">
        <v>0.0</v>
      </c>
      <c r="T37" s="117">
        <v>0.0</v>
      </c>
      <c r="U37" s="117">
        <v>0.0</v>
      </c>
      <c r="V37" s="117">
        <v>0.0</v>
      </c>
      <c r="W37" s="117">
        <v>0.0</v>
      </c>
      <c r="X37" s="117"/>
      <c r="Y37" s="117"/>
      <c r="Z37" s="117"/>
      <c r="AA37" s="100">
        <f t="shared" ref="AA37:AH37" si="53">if($K37=$F$4,AA$3,0)</f>
        <v>0</v>
      </c>
      <c r="AB37" s="100">
        <f t="shared" si="53"/>
        <v>0</v>
      </c>
      <c r="AC37" s="100">
        <f t="shared" si="53"/>
        <v>0</v>
      </c>
      <c r="AD37" s="100">
        <f t="shared" si="53"/>
        <v>0</v>
      </c>
      <c r="AE37" s="100">
        <f t="shared" si="53"/>
        <v>0</v>
      </c>
      <c r="AF37" s="100">
        <f t="shared" si="53"/>
        <v>0</v>
      </c>
      <c r="AG37" s="100">
        <f t="shared" si="53"/>
        <v>0</v>
      </c>
      <c r="AH37" s="100">
        <f t="shared" si="53"/>
        <v>0</v>
      </c>
    </row>
    <row r="38">
      <c r="A38" s="64"/>
      <c r="B38" s="276"/>
      <c r="C38" s="188"/>
      <c r="D38" s="189"/>
      <c r="E38" s="78"/>
      <c r="F38" s="79">
        <v>33.0</v>
      </c>
      <c r="G38" s="335">
        <f t="shared" si="5"/>
        <v>0</v>
      </c>
      <c r="H38" s="86">
        <f t="shared" si="9"/>
        <v>67420</v>
      </c>
      <c r="I38" s="88">
        <f t="shared" si="6"/>
        <v>0</v>
      </c>
      <c r="J38" s="71"/>
      <c r="K38" s="89">
        <v>33.0</v>
      </c>
      <c r="L38" s="100">
        <f>if((L3-L6-L7-L8-L9-L10-L11-L12-L13-L14-L15-L16-L17-L18-L19-L20-L21-L22-L23-L24-L25-L26-L27-L28-L29-L30-L31-L32-L33-L34-L35-L36-L37)&gt;0.1,L37,0)</f>
        <v>0</v>
      </c>
      <c r="M38" s="100"/>
      <c r="N38" s="100"/>
      <c r="O38" s="100">
        <f t="shared" ref="O38:P38" si="54">if((O3-O6-O10-O14-O18-O22-O26-O30-O34)&gt;0.1,O34,0)</f>
        <v>0</v>
      </c>
      <c r="P38" s="100">
        <f t="shared" si="54"/>
        <v>0</v>
      </c>
      <c r="Q38" s="100"/>
      <c r="R38" s="100"/>
      <c r="S38" s="100">
        <f t="shared" ref="S38:W38" si="55">if((S3-S6-S10-S14-S18-S22-S26-S30-S34)&gt;0.1,S34,0)</f>
        <v>0</v>
      </c>
      <c r="T38" s="100">
        <f t="shared" si="55"/>
        <v>0</v>
      </c>
      <c r="U38" s="100">
        <f t="shared" si="55"/>
        <v>0</v>
      </c>
      <c r="V38" s="100">
        <f t="shared" si="55"/>
        <v>0</v>
      </c>
      <c r="W38" s="100">
        <f t="shared" si="55"/>
        <v>0</v>
      </c>
      <c r="X38" s="100"/>
      <c r="Y38" s="100"/>
      <c r="Z38" s="100"/>
      <c r="AA38" s="100">
        <f t="shared" ref="AA38:AH38" si="56">if($K38=$F$4,AA$3,0)</f>
        <v>0</v>
      </c>
      <c r="AB38" s="100">
        <f t="shared" si="56"/>
        <v>0</v>
      </c>
      <c r="AC38" s="100">
        <f t="shared" si="56"/>
        <v>0</v>
      </c>
      <c r="AD38" s="100">
        <f t="shared" si="56"/>
        <v>0</v>
      </c>
      <c r="AE38" s="100">
        <f t="shared" si="56"/>
        <v>0</v>
      </c>
      <c r="AF38" s="100">
        <f t="shared" si="56"/>
        <v>0</v>
      </c>
      <c r="AG38" s="100">
        <f t="shared" si="56"/>
        <v>0</v>
      </c>
      <c r="AH38" s="100">
        <f t="shared" si="56"/>
        <v>0</v>
      </c>
    </row>
    <row r="39">
      <c r="A39" s="64"/>
      <c r="B39" s="276"/>
      <c r="C39" s="188"/>
      <c r="D39" s="277"/>
      <c r="E39" s="78"/>
      <c r="F39" s="79">
        <v>34.0</v>
      </c>
      <c r="G39" s="335">
        <f t="shared" si="5"/>
        <v>0</v>
      </c>
      <c r="H39" s="86">
        <f t="shared" si="9"/>
        <v>67420</v>
      </c>
      <c r="I39" s="88">
        <f t="shared" si="6"/>
        <v>0</v>
      </c>
      <c r="J39" s="71"/>
      <c r="K39" s="89">
        <v>34.0</v>
      </c>
      <c r="L39" s="117">
        <f>if((L3-L6-L7-L8-L9-L10-L11-L12-L13-L14-L15-L16-L17-L18-L19-L20-L21-L22-L23-L24-L25-L26-L27-L28-L29-L30-L31-L32-L33-L34-L35-L36-L37-L38)&gt;0.1,L38,0)</f>
        <v>0</v>
      </c>
      <c r="M39" s="117"/>
      <c r="N39" s="100"/>
      <c r="O39" s="117">
        <v>0.0</v>
      </c>
      <c r="P39" s="117">
        <v>0.0</v>
      </c>
      <c r="Q39" s="117"/>
      <c r="R39" s="117"/>
      <c r="S39" s="117">
        <v>0.0</v>
      </c>
      <c r="T39" s="117">
        <v>0.0</v>
      </c>
      <c r="U39" s="117">
        <v>0.0</v>
      </c>
      <c r="V39" s="117">
        <v>0.0</v>
      </c>
      <c r="W39" s="117">
        <v>0.0</v>
      </c>
      <c r="X39" s="117"/>
      <c r="Y39" s="117"/>
      <c r="Z39" s="117"/>
      <c r="AA39" s="100">
        <f t="shared" ref="AA39:AH39" si="57">if($K39=$F$4,AA$3,0)</f>
        <v>0</v>
      </c>
      <c r="AB39" s="100">
        <f t="shared" si="57"/>
        <v>0</v>
      </c>
      <c r="AC39" s="100">
        <f t="shared" si="57"/>
        <v>0</v>
      </c>
      <c r="AD39" s="100">
        <f t="shared" si="57"/>
        <v>0</v>
      </c>
      <c r="AE39" s="100">
        <f t="shared" si="57"/>
        <v>0</v>
      </c>
      <c r="AF39" s="100">
        <f t="shared" si="57"/>
        <v>0</v>
      </c>
      <c r="AG39" s="100">
        <f t="shared" si="57"/>
        <v>0</v>
      </c>
      <c r="AH39" s="100">
        <f t="shared" si="57"/>
        <v>0</v>
      </c>
    </row>
    <row r="40">
      <c r="A40" s="64"/>
      <c r="B40" s="276"/>
      <c r="C40" s="188"/>
      <c r="D40" s="189"/>
      <c r="E40" s="78"/>
      <c r="F40" s="79">
        <v>35.0</v>
      </c>
      <c r="G40" s="335">
        <f t="shared" si="5"/>
        <v>0</v>
      </c>
      <c r="H40" s="86">
        <f t="shared" si="9"/>
        <v>67420</v>
      </c>
      <c r="I40" s="88">
        <f t="shared" si="6"/>
        <v>0</v>
      </c>
      <c r="J40" s="71"/>
      <c r="K40" s="89">
        <v>35.0</v>
      </c>
      <c r="L40" s="117">
        <f>if((L3-L6-L7-L8-L9-L10-L11-L12-L13-L14-L15-L16-L17-L18-L19-L20-L21-L22-L23-L24-L25-L26-L27-L28-L29-L30-L31-L32-L33-L34-L35-L36-L37-L38-L39)&gt;0.1,L39,0)</f>
        <v>0</v>
      </c>
      <c r="M40" s="117"/>
      <c r="N40" s="100"/>
      <c r="O40" s="117">
        <v>0.0</v>
      </c>
      <c r="P40" s="117">
        <v>0.0</v>
      </c>
      <c r="Q40" s="117"/>
      <c r="R40" s="117"/>
      <c r="S40" s="117">
        <v>0.0</v>
      </c>
      <c r="T40" s="117">
        <v>0.0</v>
      </c>
      <c r="U40" s="117">
        <v>0.0</v>
      </c>
      <c r="V40" s="117">
        <v>0.0</v>
      </c>
      <c r="W40" s="117">
        <v>0.0</v>
      </c>
      <c r="X40" s="117"/>
      <c r="Y40" s="117"/>
      <c r="Z40" s="117"/>
      <c r="AA40" s="100">
        <f t="shared" ref="AA40:AH40" si="58">if($K40=$F$4,AA$3,0)</f>
        <v>0</v>
      </c>
      <c r="AB40" s="100">
        <f t="shared" si="58"/>
        <v>0</v>
      </c>
      <c r="AC40" s="100">
        <f t="shared" si="58"/>
        <v>0</v>
      </c>
      <c r="AD40" s="100">
        <f t="shared" si="58"/>
        <v>0</v>
      </c>
      <c r="AE40" s="100">
        <f t="shared" si="58"/>
        <v>0</v>
      </c>
      <c r="AF40" s="100">
        <f t="shared" si="58"/>
        <v>0</v>
      </c>
      <c r="AG40" s="100">
        <f t="shared" si="58"/>
        <v>0</v>
      </c>
      <c r="AH40" s="100">
        <f t="shared" si="58"/>
        <v>0</v>
      </c>
    </row>
    <row r="41">
      <c r="A41" s="64"/>
      <c r="B41" s="276"/>
      <c r="C41" s="188"/>
      <c r="D41" s="277"/>
      <c r="E41" s="78"/>
      <c r="F41" s="79">
        <v>36.0</v>
      </c>
      <c r="G41" s="335">
        <f t="shared" si="5"/>
        <v>0</v>
      </c>
      <c r="H41" s="86">
        <f t="shared" si="9"/>
        <v>67420</v>
      </c>
      <c r="I41" s="88">
        <f t="shared" si="6"/>
        <v>0</v>
      </c>
      <c r="J41" s="71"/>
      <c r="K41" s="89">
        <v>36.0</v>
      </c>
      <c r="L41" s="117">
        <f>if((L3-L6-L7-L8-L9-L10-L11-L12-L13-L14-L15-L16-L17-L18-L19-L20-L21-L22-L23-L24-L25-L26-L27-L28-L29-L30-L31-L32-L33-L34-L35-L36-L37-L38-L39-L40)&gt;0.1,L40,0)</f>
        <v>0</v>
      </c>
      <c r="M41" s="117"/>
      <c r="N41" s="100"/>
      <c r="O41" s="117">
        <v>0.0</v>
      </c>
      <c r="P41" s="117">
        <v>0.0</v>
      </c>
      <c r="Q41" s="117"/>
      <c r="R41" s="117"/>
      <c r="S41" s="117">
        <v>0.0</v>
      </c>
      <c r="T41" s="117">
        <v>0.0</v>
      </c>
      <c r="U41" s="117">
        <v>0.0</v>
      </c>
      <c r="V41" s="117">
        <v>0.0</v>
      </c>
      <c r="W41" s="117">
        <v>0.0</v>
      </c>
      <c r="X41" s="117"/>
      <c r="Y41" s="117"/>
      <c r="Z41" s="117"/>
      <c r="AA41" s="100">
        <f t="shared" ref="AA41:AH41" si="59">if($K41=$F$4,AA$3,0)</f>
        <v>0</v>
      </c>
      <c r="AB41" s="100">
        <f t="shared" si="59"/>
        <v>0</v>
      </c>
      <c r="AC41" s="100">
        <f t="shared" si="59"/>
        <v>0</v>
      </c>
      <c r="AD41" s="100">
        <f t="shared" si="59"/>
        <v>0</v>
      </c>
      <c r="AE41" s="100">
        <f t="shared" si="59"/>
        <v>0</v>
      </c>
      <c r="AF41" s="100">
        <f t="shared" si="59"/>
        <v>0</v>
      </c>
      <c r="AG41" s="100">
        <f t="shared" si="59"/>
        <v>0</v>
      </c>
      <c r="AH41" s="100">
        <f t="shared" si="59"/>
        <v>0</v>
      </c>
    </row>
    <row r="42">
      <c r="A42" s="64"/>
      <c r="B42" s="372"/>
      <c r="C42" s="373"/>
      <c r="D42" s="374"/>
      <c r="E42" s="78"/>
      <c r="F42" s="78"/>
      <c r="G42" s="375"/>
      <c r="H42" s="376"/>
      <c r="I42" s="78"/>
      <c r="J42" s="71"/>
      <c r="K42" s="46" t="s">
        <v>233</v>
      </c>
      <c r="L42" s="377">
        <f t="shared" ref="L42:AH42" si="60">sum(L6:L41)</f>
        <v>20050</v>
      </c>
      <c r="M42" s="377">
        <f t="shared" si="60"/>
        <v>200000</v>
      </c>
      <c r="N42" s="377">
        <f t="shared" si="60"/>
        <v>6000</v>
      </c>
      <c r="O42" s="377">
        <f t="shared" si="60"/>
        <v>0</v>
      </c>
      <c r="P42" s="377">
        <f t="shared" si="60"/>
        <v>9333.333333</v>
      </c>
      <c r="Q42" s="377">
        <f t="shared" si="60"/>
        <v>5833.333333</v>
      </c>
      <c r="R42" s="377">
        <f t="shared" si="60"/>
        <v>0</v>
      </c>
      <c r="S42" s="377">
        <f t="shared" si="60"/>
        <v>400</v>
      </c>
      <c r="T42" s="377">
        <f t="shared" si="60"/>
        <v>600</v>
      </c>
      <c r="U42" s="377">
        <f t="shared" si="60"/>
        <v>400</v>
      </c>
      <c r="V42" s="377">
        <f t="shared" si="60"/>
        <v>400</v>
      </c>
      <c r="W42" s="377">
        <f t="shared" si="60"/>
        <v>0</v>
      </c>
      <c r="X42" s="377">
        <f t="shared" si="60"/>
        <v>1500</v>
      </c>
      <c r="Y42" s="377">
        <f t="shared" si="60"/>
        <v>3000</v>
      </c>
      <c r="Z42" s="377">
        <f t="shared" si="60"/>
        <v>0</v>
      </c>
      <c r="AA42" s="377">
        <f t="shared" si="60"/>
        <v>1500</v>
      </c>
      <c r="AB42" s="377">
        <f t="shared" si="60"/>
        <v>500</v>
      </c>
      <c r="AC42" s="377">
        <f t="shared" si="60"/>
        <v>6000</v>
      </c>
      <c r="AD42" s="377">
        <f t="shared" si="60"/>
        <v>30</v>
      </c>
      <c r="AE42" s="377">
        <f t="shared" si="60"/>
        <v>0</v>
      </c>
      <c r="AF42" s="377">
        <f t="shared" si="60"/>
        <v>0</v>
      </c>
      <c r="AG42" s="377">
        <f t="shared" si="60"/>
        <v>0</v>
      </c>
      <c r="AH42" s="377">
        <f t="shared" si="60"/>
        <v>0</v>
      </c>
    </row>
    <row r="43">
      <c r="A43" s="64"/>
      <c r="B43" s="379" t="s">
        <v>235</v>
      </c>
      <c r="C43" s="380"/>
      <c r="D43" s="2"/>
      <c r="E43" s="382">
        <f>H43-H3</f>
        <v>44453.33333</v>
      </c>
      <c r="F43" s="2"/>
      <c r="G43" s="375" t="s">
        <v>236</v>
      </c>
      <c r="H43" s="384">
        <f t="array" ref="H43">INDEX(H6:H41,MATCH(143^143,H6:H41))</f>
        <v>67420</v>
      </c>
      <c r="I43" s="78"/>
      <c r="J43" s="71"/>
      <c r="K43" s="386" t="s">
        <v>237</v>
      </c>
      <c r="L43" s="377">
        <f t="shared" ref="L43:AH43" si="61">L3-L42</f>
        <v>0</v>
      </c>
      <c r="M43" s="377">
        <f t="shared" si="61"/>
        <v>0</v>
      </c>
      <c r="N43" s="377">
        <f t="shared" si="61"/>
        <v>0</v>
      </c>
      <c r="O43" s="377">
        <f t="shared" si="61"/>
        <v>0</v>
      </c>
      <c r="P43" s="377">
        <f t="shared" si="61"/>
        <v>0</v>
      </c>
      <c r="Q43" s="377">
        <f t="shared" si="61"/>
        <v>0</v>
      </c>
      <c r="R43" s="377">
        <f t="shared" si="61"/>
        <v>0</v>
      </c>
      <c r="S43" s="377">
        <f t="shared" si="61"/>
        <v>0</v>
      </c>
      <c r="T43" s="377">
        <f t="shared" si="61"/>
        <v>0</v>
      </c>
      <c r="U43" s="377">
        <f t="shared" si="61"/>
        <v>0</v>
      </c>
      <c r="V43" s="377">
        <f t="shared" si="61"/>
        <v>0</v>
      </c>
      <c r="W43" s="377">
        <f t="shared" si="61"/>
        <v>0</v>
      </c>
      <c r="X43" s="377">
        <f t="shared" si="61"/>
        <v>0</v>
      </c>
      <c r="Y43" s="377">
        <f t="shared" si="61"/>
        <v>0</v>
      </c>
      <c r="Z43" s="377">
        <f t="shared" si="61"/>
        <v>0</v>
      </c>
      <c r="AA43" s="377">
        <f t="shared" si="61"/>
        <v>0</v>
      </c>
      <c r="AB43" s="377">
        <f t="shared" si="61"/>
        <v>0</v>
      </c>
      <c r="AC43" s="377">
        <f t="shared" si="61"/>
        <v>0</v>
      </c>
      <c r="AD43" s="377">
        <f t="shared" si="61"/>
        <v>0</v>
      </c>
      <c r="AE43" s="377">
        <f t="shared" si="61"/>
        <v>0</v>
      </c>
      <c r="AF43" s="377">
        <f t="shared" si="61"/>
        <v>0</v>
      </c>
      <c r="AG43" s="377">
        <f t="shared" si="61"/>
        <v>0</v>
      </c>
      <c r="AH43" s="377">
        <f t="shared" si="61"/>
        <v>0</v>
      </c>
    </row>
    <row r="44">
      <c r="A44" s="389"/>
      <c r="B44" s="390"/>
      <c r="C44" s="25"/>
      <c r="D44" s="392"/>
      <c r="E44" s="390"/>
      <c r="F44" s="392"/>
      <c r="G44" s="393"/>
      <c r="H44" s="393"/>
      <c r="I44" s="394"/>
      <c r="J44" s="395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</sheetData>
  <mergeCells count="25">
    <mergeCell ref="AG1:AG2"/>
    <mergeCell ref="AH1:AH2"/>
    <mergeCell ref="Q1:Q2"/>
    <mergeCell ref="R1:R2"/>
    <mergeCell ref="S1:S2"/>
    <mergeCell ref="T1:W1"/>
    <mergeCell ref="X1:Z1"/>
    <mergeCell ref="AA1:AE1"/>
    <mergeCell ref="AF1:AF2"/>
    <mergeCell ref="A1:J1"/>
    <mergeCell ref="K1:K2"/>
    <mergeCell ref="L1:L2"/>
    <mergeCell ref="M1:M2"/>
    <mergeCell ref="N1:N2"/>
    <mergeCell ref="O1:O2"/>
    <mergeCell ref="P1:P2"/>
    <mergeCell ref="G43:G44"/>
    <mergeCell ref="H43:H44"/>
    <mergeCell ref="A2:J2"/>
    <mergeCell ref="B3:B4"/>
    <mergeCell ref="C3:D4"/>
    <mergeCell ref="G3:G4"/>
    <mergeCell ref="H3:H4"/>
    <mergeCell ref="B43:D44"/>
    <mergeCell ref="E43:F44"/>
  </mergeCells>
  <conditionalFormatting sqref="G6:H41">
    <cfRule type="cellIs" dxfId="0" priority="1" operator="lessThan">
      <formula>0</formula>
    </cfRule>
  </conditionalFormatting>
  <conditionalFormatting sqref="L43:AH43">
    <cfRule type="cellIs" dxfId="1" priority="2" operator="lessThan">
      <formula>0</formula>
    </cfRule>
  </conditionalFormatting>
  <conditionalFormatting sqref="E43:F44">
    <cfRule type="cellIs" dxfId="1" priority="3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8.14"/>
    <col customWidth="1" min="3" max="3" width="14.29"/>
    <col customWidth="1" min="4" max="4" width="18.14"/>
    <col customWidth="1" min="5" max="5" width="13.71"/>
    <col customWidth="1" min="6" max="6" width="12.86"/>
    <col customWidth="1" min="7" max="7" width="5.57"/>
    <col customWidth="1" min="8" max="8" width="27.86"/>
    <col customWidth="1" min="10" max="10" width="5.43"/>
    <col customWidth="1" min="11" max="11" width="20.29"/>
    <col customWidth="1" min="13" max="13" width="5.57"/>
    <col customWidth="1" min="14" max="14" width="26.71"/>
    <col customWidth="1" min="17" max="17" width="6.86"/>
    <col customWidth="1" min="18" max="18" width="15.0"/>
    <col customWidth="1" min="19" max="19" width="14.57"/>
    <col customWidth="1" min="20" max="20" width="12.71"/>
    <col customWidth="1" min="21" max="22" width="13.57"/>
    <col customWidth="1" min="23" max="23" width="13.86"/>
    <col customWidth="1" min="24" max="24" width="0.57"/>
    <col customWidth="1" min="25" max="25" width="20.14"/>
    <col customWidth="1" min="26" max="26" width="14.57"/>
    <col customWidth="1" min="27" max="30" width="8.0"/>
  </cols>
  <sheetData>
    <row r="1" ht="15.75" customHeight="1">
      <c r="S1" s="97"/>
      <c r="T1" s="98"/>
      <c r="U1" s="98"/>
      <c r="V1" s="98"/>
    </row>
    <row r="2" ht="15.75" customHeight="1">
      <c r="A2" s="97"/>
      <c r="B2" s="99" t="s">
        <v>75</v>
      </c>
      <c r="C2" s="15"/>
      <c r="D2" s="15"/>
      <c r="E2" s="15"/>
      <c r="F2" s="15"/>
      <c r="G2" s="15"/>
      <c r="H2" s="15"/>
      <c r="I2" s="17"/>
      <c r="J2" s="98"/>
      <c r="K2" s="98"/>
      <c r="L2" s="98"/>
      <c r="N2" s="101"/>
      <c r="O2" s="97"/>
      <c r="P2" s="97"/>
      <c r="R2" s="101"/>
      <c r="S2" s="98"/>
      <c r="T2" s="98"/>
      <c r="V2" s="98"/>
    </row>
    <row r="3" ht="15.75" customHeight="1">
      <c r="A3" s="97"/>
      <c r="B3" s="98"/>
      <c r="C3" s="102"/>
      <c r="G3" s="97"/>
      <c r="H3" s="98"/>
      <c r="I3" s="98"/>
      <c r="J3" s="98"/>
      <c r="K3" s="98"/>
      <c r="L3" s="98"/>
      <c r="N3" s="101"/>
      <c r="O3" s="97"/>
      <c r="P3" s="97"/>
      <c r="R3" s="101"/>
      <c r="S3" s="98"/>
      <c r="T3" s="98"/>
      <c r="V3" s="98"/>
    </row>
    <row r="4" ht="15.75" customHeight="1">
      <c r="A4" s="97"/>
      <c r="B4" s="98"/>
      <c r="C4" s="102"/>
      <c r="G4" s="97"/>
      <c r="H4" s="98"/>
      <c r="I4" s="98"/>
      <c r="J4" s="98"/>
      <c r="K4" s="98"/>
      <c r="L4" s="98"/>
      <c r="N4" s="101"/>
      <c r="O4" s="97"/>
      <c r="P4" s="97"/>
      <c r="R4" s="101"/>
      <c r="S4" s="98"/>
      <c r="T4" s="98"/>
      <c r="V4" s="98"/>
      <c r="Y4" s="104" t="s">
        <v>77</v>
      </c>
    </row>
    <row r="5" ht="15.75" customHeight="1">
      <c r="A5" s="97"/>
      <c r="B5" s="106" t="s">
        <v>78</v>
      </c>
      <c r="C5" s="109">
        <v>210000.0</v>
      </c>
      <c r="E5" s="106" t="s">
        <v>80</v>
      </c>
      <c r="F5" s="109">
        <v>210000.0</v>
      </c>
      <c r="G5" s="97"/>
      <c r="H5" s="98" t="s">
        <v>81</v>
      </c>
      <c r="N5" s="101" t="s">
        <v>82</v>
      </c>
      <c r="R5" s="101" t="s">
        <v>83</v>
      </c>
      <c r="V5" s="98"/>
      <c r="X5" s="104"/>
      <c r="Y5" s="112" t="s">
        <v>84</v>
      </c>
      <c r="Z5" s="115">
        <v>0.035</v>
      </c>
    </row>
    <row r="6" ht="15.75" customHeight="1">
      <c r="A6" s="97"/>
      <c r="C6" s="98"/>
      <c r="E6" s="98"/>
      <c r="F6" s="98"/>
      <c r="G6" s="97"/>
      <c r="H6" s="118" t="s">
        <v>85</v>
      </c>
      <c r="N6" s="98"/>
      <c r="O6" s="98"/>
      <c r="P6" s="98"/>
      <c r="R6" s="106" t="s">
        <v>87</v>
      </c>
      <c r="S6" s="15"/>
      <c r="T6" s="121">
        <v>1.25</v>
      </c>
      <c r="X6" s="104"/>
      <c r="Y6" s="122" t="s">
        <v>88</v>
      </c>
      <c r="Z6" s="123">
        <f>F29</f>
        <v>3000</v>
      </c>
    </row>
    <row r="7" ht="15.75" customHeight="1">
      <c r="A7" s="97"/>
      <c r="B7" s="98" t="s">
        <v>90</v>
      </c>
      <c r="C7" s="97"/>
      <c r="D7" s="97"/>
      <c r="E7" s="97"/>
      <c r="F7" s="97"/>
      <c r="G7" s="97"/>
      <c r="H7" s="106" t="s">
        <v>91</v>
      </c>
      <c r="I7" s="124" t="s">
        <v>92</v>
      </c>
      <c r="J7" s="97"/>
      <c r="K7" s="106" t="s">
        <v>94</v>
      </c>
      <c r="L7" s="125"/>
      <c r="N7" s="98"/>
      <c r="O7" s="98" t="s">
        <v>95</v>
      </c>
      <c r="P7" s="98" t="s">
        <v>96</v>
      </c>
    </row>
    <row r="8" ht="15.75" customHeight="1">
      <c r="A8" s="97"/>
      <c r="B8" s="127" t="s">
        <v>97</v>
      </c>
      <c r="C8" s="129" t="s">
        <v>98</v>
      </c>
      <c r="D8" s="129" t="s">
        <v>99</v>
      </c>
      <c r="E8" s="129" t="s">
        <v>100</v>
      </c>
      <c r="F8" s="130" t="s">
        <v>101</v>
      </c>
      <c r="G8" s="97"/>
      <c r="H8" s="131" t="s">
        <v>102</v>
      </c>
      <c r="I8" s="133">
        <f>E29</f>
        <v>2000</v>
      </c>
      <c r="J8" s="97"/>
      <c r="K8" s="134" t="s">
        <v>78</v>
      </c>
      <c r="L8" s="135">
        <f>C5</f>
        <v>210000</v>
      </c>
      <c r="N8" s="134" t="s">
        <v>105</v>
      </c>
      <c r="O8" s="136">
        <v>1.0</v>
      </c>
      <c r="P8" s="139">
        <f>($L$15*12)-P26</f>
        <v>2111.868635</v>
      </c>
      <c r="R8" s="140"/>
      <c r="S8" s="141"/>
      <c r="T8" s="142" t="s">
        <v>109</v>
      </c>
      <c r="U8" s="143" t="s">
        <v>111</v>
      </c>
      <c r="V8" s="144" t="s">
        <v>112</v>
      </c>
      <c r="X8" s="104"/>
      <c r="Y8" s="146" t="s">
        <v>113</v>
      </c>
      <c r="Z8" s="147" t="s">
        <v>101</v>
      </c>
    </row>
    <row r="9" ht="15.75" customHeight="1">
      <c r="A9" s="97"/>
      <c r="B9" s="149">
        <v>1.0</v>
      </c>
      <c r="C9" s="151">
        <v>3.0</v>
      </c>
      <c r="D9" s="153">
        <v>2.5</v>
      </c>
      <c r="E9" s="154">
        <v>2000.0</v>
      </c>
      <c r="F9" s="157">
        <v>3000.0</v>
      </c>
      <c r="G9" s="97"/>
      <c r="H9" s="159" t="s">
        <v>116</v>
      </c>
      <c r="I9" s="160">
        <f>C$40*I8</f>
        <v>0</v>
      </c>
      <c r="J9" s="97"/>
      <c r="K9" s="159" t="s">
        <v>118</v>
      </c>
      <c r="L9" s="164">
        <f>1-E$33</f>
        <v>0.99</v>
      </c>
      <c r="N9" s="166" t="s">
        <v>122</v>
      </c>
      <c r="O9" s="167">
        <v>1.0</v>
      </c>
      <c r="P9" s="168">
        <f>((P8)/$L$10)</f>
        <v>1.005651731</v>
      </c>
      <c r="R9" s="171" t="s">
        <v>102</v>
      </c>
      <c r="S9" s="19"/>
      <c r="T9" s="172"/>
      <c r="U9" s="174">
        <f>I8*12</f>
        <v>24000</v>
      </c>
      <c r="V9" s="177">
        <f>I23*12</f>
        <v>36000</v>
      </c>
      <c r="X9" s="178"/>
      <c r="Y9" s="180">
        <v>1.0</v>
      </c>
      <c r="Z9" s="182">
        <f t="shared" ref="Z9:Z28" si="1">Z$6*((1+Z$5)^(Y9-1))</f>
        <v>3000</v>
      </c>
    </row>
    <row r="10" ht="15.75" customHeight="1">
      <c r="A10" s="97"/>
      <c r="B10" s="149">
        <v>2.0</v>
      </c>
      <c r="C10" s="183">
        <v>3.0</v>
      </c>
      <c r="D10" s="153">
        <v>3.0</v>
      </c>
      <c r="E10" s="184">
        <v>0.0</v>
      </c>
      <c r="F10" s="184">
        <v>0.0</v>
      </c>
      <c r="G10" s="97"/>
      <c r="H10" s="159" t="s">
        <v>11</v>
      </c>
      <c r="I10" s="160">
        <f>C$33/12</f>
        <v>116.6666667</v>
      </c>
      <c r="J10" s="97"/>
      <c r="K10" s="187" t="s">
        <v>134</v>
      </c>
      <c r="L10" s="190">
        <f>E33*C5</f>
        <v>2100</v>
      </c>
      <c r="N10" s="134" t="s">
        <v>105</v>
      </c>
      <c r="O10" s="136">
        <v>2.0</v>
      </c>
      <c r="P10" s="139">
        <f>($L$15*12)-P29</f>
        <v>2264.535789</v>
      </c>
      <c r="R10" s="193" t="s">
        <v>136</v>
      </c>
      <c r="T10" s="194">
        <f>C41</f>
        <v>0</v>
      </c>
      <c r="U10" s="195">
        <f>U9*T10</f>
        <v>0</v>
      </c>
      <c r="V10" s="198">
        <f>I13*12</f>
        <v>0</v>
      </c>
      <c r="X10" s="178"/>
      <c r="Y10" s="180">
        <v>2.0</v>
      </c>
      <c r="Z10" s="182">
        <f t="shared" si="1"/>
        <v>3105</v>
      </c>
    </row>
    <row r="11" ht="15.75" customHeight="1">
      <c r="A11" s="97"/>
      <c r="B11" s="149">
        <v>3.0</v>
      </c>
      <c r="C11" s="183">
        <v>3.0</v>
      </c>
      <c r="D11" s="153">
        <v>3.0</v>
      </c>
      <c r="E11" s="184">
        <v>0.0</v>
      </c>
      <c r="F11" s="184">
        <v>0.0</v>
      </c>
      <c r="G11" s="97"/>
      <c r="H11" s="159" t="s">
        <v>141</v>
      </c>
      <c r="I11" s="160">
        <f>C34</f>
        <v>100</v>
      </c>
      <c r="J11" s="97"/>
      <c r="K11" s="187" t="s">
        <v>143</v>
      </c>
      <c r="L11" s="190">
        <f>E$36</f>
        <v>2100</v>
      </c>
      <c r="N11" s="166" t="s">
        <v>122</v>
      </c>
      <c r="O11" s="167">
        <v>2.0</v>
      </c>
      <c r="P11" s="168">
        <f>((P10)/$L$10)</f>
        <v>1.078350376</v>
      </c>
      <c r="R11" s="193" t="s">
        <v>148</v>
      </c>
      <c r="T11" s="194">
        <f>C40</f>
        <v>0</v>
      </c>
      <c r="U11" s="195">
        <f>U9*T11</f>
        <v>0</v>
      </c>
      <c r="V11" s="198">
        <f>12*I9</f>
        <v>0</v>
      </c>
      <c r="X11" s="178"/>
      <c r="Y11" s="180">
        <v>3.0</v>
      </c>
      <c r="Z11" s="182">
        <f t="shared" si="1"/>
        <v>3213.675</v>
      </c>
    </row>
    <row r="12" ht="15.75" customHeight="1">
      <c r="A12" s="97"/>
      <c r="B12" s="149">
        <v>4.0</v>
      </c>
      <c r="C12" s="183">
        <v>3.0</v>
      </c>
      <c r="D12" s="153">
        <v>3.0</v>
      </c>
      <c r="E12" s="184">
        <v>0.0</v>
      </c>
      <c r="F12" s="184">
        <v>0.0</v>
      </c>
      <c r="G12" s="97"/>
      <c r="H12" s="159" t="s">
        <v>150</v>
      </c>
      <c r="I12" s="210">
        <f>SUM(C$35:C$39)</f>
        <v>0</v>
      </c>
      <c r="J12" s="97"/>
      <c r="K12" s="187" t="s">
        <v>151</v>
      </c>
      <c r="L12" s="190">
        <f>L8*L9</f>
        <v>207900</v>
      </c>
      <c r="N12" s="134" t="s">
        <v>105</v>
      </c>
      <c r="O12" s="136">
        <v>3.0</v>
      </c>
      <c r="P12" s="139">
        <f>($L$15*12)-P32</f>
        <v>2428.239265</v>
      </c>
      <c r="R12" s="193" t="s">
        <v>153</v>
      </c>
      <c r="T12" s="213">
        <v>0.0</v>
      </c>
      <c r="U12" s="195">
        <f>T12*U9</f>
        <v>0</v>
      </c>
      <c r="V12" s="198">
        <f>T12*V9</f>
        <v>0</v>
      </c>
      <c r="X12" s="178"/>
      <c r="Y12" s="180">
        <v>4.0</v>
      </c>
      <c r="Z12" s="182">
        <f t="shared" si="1"/>
        <v>3326.153625</v>
      </c>
    </row>
    <row r="13" ht="15.75" customHeight="1">
      <c r="A13" s="97"/>
      <c r="B13" s="149">
        <v>5.0</v>
      </c>
      <c r="C13" s="183">
        <v>3.0</v>
      </c>
      <c r="D13" s="153">
        <v>3.0</v>
      </c>
      <c r="E13" s="184">
        <v>0.0</v>
      </c>
      <c r="F13" s="184">
        <v>0.0</v>
      </c>
      <c r="G13" s="97"/>
      <c r="H13" s="159" t="s">
        <v>154</v>
      </c>
      <c r="I13" s="160">
        <f>C41*E29</f>
        <v>0</v>
      </c>
      <c r="J13" s="97"/>
      <c r="K13" s="187" t="s">
        <v>155</v>
      </c>
      <c r="L13" s="215">
        <f>E$34</f>
        <v>0.07</v>
      </c>
      <c r="N13" s="166" t="s">
        <v>122</v>
      </c>
      <c r="O13" s="167">
        <v>3.0</v>
      </c>
      <c r="P13" s="168">
        <f>((P12)/$L$10)</f>
        <v>1.156304412</v>
      </c>
      <c r="R13" s="193" t="s">
        <v>158</v>
      </c>
      <c r="T13" s="218"/>
      <c r="U13" s="195">
        <f t="shared" ref="U13:U14" si="2">I10*12</f>
        <v>1400</v>
      </c>
      <c r="V13" s="198">
        <f t="shared" ref="V13:V14" si="3">I10*12</f>
        <v>1400</v>
      </c>
      <c r="X13" s="178"/>
      <c r="Y13" s="180">
        <v>5.0</v>
      </c>
      <c r="Z13" s="182">
        <f t="shared" si="1"/>
        <v>3442.569002</v>
      </c>
    </row>
    <row r="14" ht="15.75" customHeight="1">
      <c r="A14" s="97"/>
      <c r="B14" s="149">
        <v>6.0</v>
      </c>
      <c r="C14" s="183">
        <v>3.0</v>
      </c>
      <c r="D14" s="153">
        <v>3.0</v>
      </c>
      <c r="E14" s="184">
        <v>0.0</v>
      </c>
      <c r="F14" s="184">
        <v>0.0</v>
      </c>
      <c r="G14" s="97"/>
      <c r="H14" s="159" t="s">
        <v>162</v>
      </c>
      <c r="I14" s="160">
        <f>I$8*C42</f>
        <v>100</v>
      </c>
      <c r="J14" s="97"/>
      <c r="K14" s="187" t="s">
        <v>164</v>
      </c>
      <c r="L14" s="221">
        <f>E$35</f>
        <v>30</v>
      </c>
      <c r="N14" s="134" t="s">
        <v>105</v>
      </c>
      <c r="O14" s="136">
        <v>4.0</v>
      </c>
      <c r="P14" s="139">
        <f>($L$15*12)-P35</f>
        <v>2603.776878</v>
      </c>
      <c r="R14" s="193" t="s">
        <v>165</v>
      </c>
      <c r="T14" s="218"/>
      <c r="U14" s="195">
        <f t="shared" si="2"/>
        <v>1200</v>
      </c>
      <c r="V14" s="198">
        <f t="shared" si="3"/>
        <v>1200</v>
      </c>
      <c r="Y14" s="180">
        <v>6.0</v>
      </c>
      <c r="Z14" s="182">
        <f t="shared" si="1"/>
        <v>3563.058917</v>
      </c>
    </row>
    <row r="15" ht="15.75" customHeight="1">
      <c r="A15" s="97"/>
      <c r="B15" s="149">
        <v>7.0</v>
      </c>
      <c r="C15" s="183">
        <v>3.0</v>
      </c>
      <c r="D15" s="153">
        <v>3.0</v>
      </c>
      <c r="E15" s="184">
        <v>0.0</v>
      </c>
      <c r="F15" s="184">
        <v>0.0</v>
      </c>
      <c r="G15" s="97"/>
      <c r="H15" s="225" t="s">
        <v>167</v>
      </c>
      <c r="I15" s="227">
        <f>SUM(I9:I14)</f>
        <v>316.6666667</v>
      </c>
      <c r="J15" s="97"/>
      <c r="K15" s="225" t="s">
        <v>169</v>
      </c>
      <c r="L15" s="227">
        <f>-pmt(L13/12,L14*12, L12)</f>
        <v>1383.163887</v>
      </c>
      <c r="N15" s="166" t="s">
        <v>122</v>
      </c>
      <c r="O15" s="167">
        <v>4.0</v>
      </c>
      <c r="P15" s="168">
        <f>((P14)/$L$10)</f>
        <v>1.239893751</v>
      </c>
      <c r="R15" s="234" t="s">
        <v>173</v>
      </c>
      <c r="S15" s="235"/>
      <c r="T15" s="237">
        <f>C42</f>
        <v>0.05</v>
      </c>
      <c r="U15" s="238">
        <f>U9*T15</f>
        <v>1200</v>
      </c>
      <c r="V15" s="239">
        <f>(I12+I14)*12</f>
        <v>1200</v>
      </c>
      <c r="Y15" s="180">
        <v>7.0</v>
      </c>
      <c r="Z15" s="182">
        <f t="shared" si="1"/>
        <v>3687.765979</v>
      </c>
    </row>
    <row r="16" ht="15.75" customHeight="1">
      <c r="A16" s="97"/>
      <c r="B16" s="149">
        <v>8.0</v>
      </c>
      <c r="C16" s="183">
        <v>3.0</v>
      </c>
      <c r="D16" s="153">
        <v>3.0</v>
      </c>
      <c r="E16" s="184">
        <v>0.0</v>
      </c>
      <c r="F16" s="184">
        <v>0.0</v>
      </c>
      <c r="G16" s="97"/>
      <c r="H16" s="240" t="s">
        <v>178</v>
      </c>
      <c r="I16" s="241">
        <f>I8-SUM(I9:I14)</f>
        <v>1683.333333</v>
      </c>
      <c r="J16" s="97"/>
      <c r="K16" s="240" t="s">
        <v>181</v>
      </c>
      <c r="L16" s="241">
        <f>I16-L15</f>
        <v>300.1694459</v>
      </c>
      <c r="N16" s="134" t="s">
        <v>105</v>
      </c>
      <c r="O16" s="136">
        <v>5.0</v>
      </c>
      <c r="P16" s="139">
        <f>($L$15*12)-P38</f>
        <v>2792.004119</v>
      </c>
      <c r="R16" s="245" t="s">
        <v>184</v>
      </c>
      <c r="T16" s="246"/>
      <c r="U16" s="248">
        <f t="shared" ref="U16:V16" si="4">SUM(U10:U14,U15)</f>
        <v>3800</v>
      </c>
      <c r="V16" s="250">
        <f t="shared" si="4"/>
        <v>3800</v>
      </c>
      <c r="Y16" s="180">
        <v>8.0</v>
      </c>
      <c r="Z16" s="182">
        <f t="shared" si="1"/>
        <v>3816.837788</v>
      </c>
    </row>
    <row r="17" ht="15.75" customHeight="1">
      <c r="A17" s="97"/>
      <c r="B17" s="149">
        <v>9.0</v>
      </c>
      <c r="C17" s="183">
        <v>3.0</v>
      </c>
      <c r="D17" s="153">
        <v>2.5</v>
      </c>
      <c r="E17" s="184">
        <v>0.0</v>
      </c>
      <c r="F17" s="184">
        <v>0.0</v>
      </c>
      <c r="G17" s="97"/>
      <c r="H17" s="240" t="s">
        <v>189</v>
      </c>
      <c r="I17" s="241">
        <f>I16*12</f>
        <v>20200</v>
      </c>
      <c r="J17" s="97"/>
      <c r="K17" s="240" t="s">
        <v>190</v>
      </c>
      <c r="L17" s="241">
        <f>L16*12</f>
        <v>3602.03335</v>
      </c>
      <c r="N17" s="166" t="s">
        <v>122</v>
      </c>
      <c r="O17" s="167">
        <v>5.0</v>
      </c>
      <c r="P17" s="168">
        <f>((P16)/$L$10)</f>
        <v>1.329525771</v>
      </c>
      <c r="R17" s="245" t="s">
        <v>191</v>
      </c>
      <c r="T17" s="246"/>
      <c r="U17" s="255">
        <f t="shared" ref="U17:V17" si="5">U9-U16</f>
        <v>20200</v>
      </c>
      <c r="V17" s="256">
        <f t="shared" si="5"/>
        <v>32200</v>
      </c>
      <c r="Y17" s="180">
        <v>9.0</v>
      </c>
      <c r="Z17" s="182">
        <f t="shared" si="1"/>
        <v>3950.427111</v>
      </c>
    </row>
    <row r="18" ht="18.0" customHeight="1">
      <c r="A18" s="97"/>
      <c r="B18" s="149">
        <v>10.0</v>
      </c>
      <c r="C18" s="183">
        <v>3.0</v>
      </c>
      <c r="D18" s="153">
        <v>2.5</v>
      </c>
      <c r="E18" s="184">
        <v>0.0</v>
      </c>
      <c r="F18" s="184">
        <v>0.0</v>
      </c>
      <c r="G18" s="97"/>
      <c r="H18" s="166" t="s">
        <v>192</v>
      </c>
      <c r="I18" s="259">
        <f>I17/L8</f>
        <v>0.09619047619</v>
      </c>
      <c r="J18" s="97"/>
      <c r="K18" s="260" t="s">
        <v>194</v>
      </c>
      <c r="L18" s="262">
        <f>L17/(L10+L11)</f>
        <v>0.8576269882</v>
      </c>
      <c r="N18" s="97"/>
      <c r="O18" s="97"/>
      <c r="P18" s="97"/>
      <c r="R18" s="263" t="s">
        <v>195</v>
      </c>
      <c r="S18" s="235"/>
      <c r="T18" s="265"/>
      <c r="U18" s="267">
        <f>L15*12</f>
        <v>16597.96665</v>
      </c>
      <c r="V18" s="270">
        <f>U18</f>
        <v>16597.96665</v>
      </c>
      <c r="Y18" s="180">
        <v>10.0</v>
      </c>
      <c r="Z18" s="182">
        <f t="shared" si="1"/>
        <v>4088.69206</v>
      </c>
    </row>
    <row r="19" ht="16.5" customHeight="1">
      <c r="A19" s="97"/>
      <c r="B19" s="149">
        <v>11.0</v>
      </c>
      <c r="C19" s="183">
        <v>3.0</v>
      </c>
      <c r="D19" s="153">
        <v>2.5</v>
      </c>
      <c r="E19" s="184">
        <v>0.0</v>
      </c>
      <c r="F19" s="184">
        <v>0.0</v>
      </c>
      <c r="G19" s="97"/>
      <c r="H19" s="97"/>
      <c r="I19" s="97"/>
      <c r="J19" s="97"/>
      <c r="K19" s="98"/>
      <c r="L19" s="98"/>
      <c r="R19" s="97"/>
      <c r="S19" s="97"/>
      <c r="T19" s="97"/>
      <c r="U19" s="97"/>
      <c r="V19" s="97"/>
      <c r="Y19" s="180">
        <v>11.0</v>
      </c>
      <c r="Z19" s="182">
        <f t="shared" si="1"/>
        <v>4231.796282</v>
      </c>
    </row>
    <row r="20" ht="15.75" customHeight="1">
      <c r="A20" s="97"/>
      <c r="B20" s="149">
        <v>12.0</v>
      </c>
      <c r="C20" s="183">
        <v>3.0</v>
      </c>
      <c r="D20" s="153">
        <v>2.5</v>
      </c>
      <c r="E20" s="184">
        <v>0.0</v>
      </c>
      <c r="F20" s="184">
        <v>0.0</v>
      </c>
      <c r="G20" s="97"/>
      <c r="H20" s="98" t="s">
        <v>197</v>
      </c>
      <c r="N20" s="101" t="s">
        <v>198</v>
      </c>
      <c r="R20" s="273" t="s">
        <v>199</v>
      </c>
      <c r="S20" s="19"/>
      <c r="T20" s="274"/>
      <c r="U20" s="278">
        <f t="shared" ref="U20:V20" si="6">U17/U18</f>
        <v>1.217016543</v>
      </c>
      <c r="V20" s="279">
        <f t="shared" si="6"/>
        <v>1.939996668</v>
      </c>
      <c r="Y20" s="180">
        <v>12.0</v>
      </c>
      <c r="Z20" s="182">
        <f t="shared" si="1"/>
        <v>4379.909152</v>
      </c>
    </row>
    <row r="21" ht="15.75" customHeight="1">
      <c r="A21" s="97"/>
      <c r="B21" s="149">
        <v>13.0</v>
      </c>
      <c r="C21" s="183">
        <v>3.0</v>
      </c>
      <c r="D21" s="153">
        <v>2.5</v>
      </c>
      <c r="E21" s="184">
        <v>0.0</v>
      </c>
      <c r="F21" s="184">
        <v>0.0</v>
      </c>
      <c r="G21" s="97"/>
      <c r="H21" s="281" t="s">
        <v>203</v>
      </c>
      <c r="N21" s="106" t="s">
        <v>204</v>
      </c>
      <c r="O21" s="15"/>
      <c r="P21" s="282">
        <v>1.0</v>
      </c>
      <c r="R21" s="283" t="s">
        <v>205</v>
      </c>
      <c r="S21" s="235"/>
      <c r="T21" s="284"/>
      <c r="U21" s="286">
        <f t="shared" ref="U21:V21" si="7">U17-U18</f>
        <v>3602.03335</v>
      </c>
      <c r="V21" s="287">
        <f t="shared" si="7"/>
        <v>15602.03335</v>
      </c>
      <c r="Y21" s="180">
        <v>13.0</v>
      </c>
      <c r="Z21" s="182">
        <f t="shared" si="1"/>
        <v>4533.205972</v>
      </c>
    </row>
    <row r="22" ht="15.75" customHeight="1">
      <c r="A22" s="98"/>
      <c r="B22" s="149">
        <v>14.0</v>
      </c>
      <c r="C22" s="183">
        <v>3.0</v>
      </c>
      <c r="D22" s="153">
        <v>2.5</v>
      </c>
      <c r="E22" s="184">
        <v>0.0</v>
      </c>
      <c r="F22" s="184">
        <v>0.0</v>
      </c>
      <c r="G22" s="97"/>
      <c r="H22" s="106" t="s">
        <v>91</v>
      </c>
      <c r="I22" s="124" t="s">
        <v>92</v>
      </c>
      <c r="J22" s="97"/>
      <c r="K22" s="131" t="s">
        <v>94</v>
      </c>
      <c r="L22" s="289"/>
      <c r="N22" s="106" t="s">
        <v>206</v>
      </c>
      <c r="O22" s="292"/>
      <c r="P22" s="282">
        <v>0.21</v>
      </c>
      <c r="Y22" s="180">
        <v>14.0</v>
      </c>
      <c r="Z22" s="182">
        <f t="shared" si="1"/>
        <v>4691.868181</v>
      </c>
    </row>
    <row r="23" ht="15.75" customHeight="1">
      <c r="A23" s="97"/>
      <c r="B23" s="149">
        <v>15.0</v>
      </c>
      <c r="C23" s="183"/>
      <c r="D23" s="153"/>
      <c r="E23" s="184"/>
      <c r="F23" s="294">
        <v>0.0</v>
      </c>
      <c r="G23" s="97"/>
      <c r="H23" s="131" t="s">
        <v>102</v>
      </c>
      <c r="I23" s="133">
        <f>F29</f>
        <v>3000</v>
      </c>
      <c r="J23" s="97"/>
      <c r="K23" s="134" t="s">
        <v>78</v>
      </c>
      <c r="L23" s="135">
        <f>C5</f>
        <v>210000</v>
      </c>
      <c r="R23" s="104" t="s">
        <v>207</v>
      </c>
      <c r="Y23" s="180">
        <v>15.0</v>
      </c>
      <c r="Z23" s="182">
        <f t="shared" si="1"/>
        <v>4856.083567</v>
      </c>
    </row>
    <row r="24" ht="15.75" customHeight="1">
      <c r="A24" s="97"/>
      <c r="B24" s="298">
        <v>16.0</v>
      </c>
      <c r="C24" s="183"/>
      <c r="D24" s="153"/>
      <c r="E24" s="184"/>
      <c r="F24" s="294"/>
      <c r="G24" s="97"/>
      <c r="H24" s="159" t="s">
        <v>116</v>
      </c>
      <c r="I24" s="160">
        <f>C$40*I23</f>
        <v>0</v>
      </c>
      <c r="J24" s="97"/>
      <c r="K24" s="159" t="s">
        <v>118</v>
      </c>
      <c r="L24" s="164">
        <f>1-E$33</f>
        <v>0.99</v>
      </c>
      <c r="N24" s="98"/>
      <c r="O24" s="98" t="s">
        <v>95</v>
      </c>
      <c r="P24" s="98" t="s">
        <v>96</v>
      </c>
      <c r="R24" s="146" t="s">
        <v>208</v>
      </c>
      <c r="S24" s="299">
        <v>0.025</v>
      </c>
      <c r="X24" s="178"/>
      <c r="Y24" s="180">
        <v>16.0</v>
      </c>
      <c r="Z24" s="182">
        <f t="shared" si="1"/>
        <v>5026.046492</v>
      </c>
      <c r="AA24" s="178"/>
      <c r="AB24" s="178"/>
      <c r="AC24" s="178"/>
      <c r="AD24" s="178"/>
    </row>
    <row r="25" ht="15.75" customHeight="1">
      <c r="A25" s="97"/>
      <c r="B25" s="298">
        <v>17.0</v>
      </c>
      <c r="C25" s="183"/>
      <c r="D25" s="153"/>
      <c r="E25" s="184"/>
      <c r="F25" s="294"/>
      <c r="G25" s="97"/>
      <c r="H25" s="159" t="s">
        <v>11</v>
      </c>
      <c r="I25" s="160">
        <f>C$33/12</f>
        <v>116.6666667</v>
      </c>
      <c r="J25" s="97"/>
      <c r="K25" s="187" t="s">
        <v>134</v>
      </c>
      <c r="L25" s="190">
        <f>E33*L23</f>
        <v>2100</v>
      </c>
      <c r="N25" s="134" t="s">
        <v>209</v>
      </c>
      <c r="O25" s="300">
        <v>1.0</v>
      </c>
      <c r="P25" s="301">
        <f>(P21*$L$8)/27.5</f>
        <v>7636.363636</v>
      </c>
      <c r="Y25" s="180">
        <v>17.0</v>
      </c>
      <c r="Z25" s="182">
        <f t="shared" si="1"/>
        <v>5201.958119</v>
      </c>
    </row>
    <row r="26" ht="15.75" customHeight="1">
      <c r="A26" s="97"/>
      <c r="B26" s="298">
        <v>18.0</v>
      </c>
      <c r="C26" s="183"/>
      <c r="D26" s="153"/>
      <c r="E26" s="184"/>
      <c r="F26" s="294"/>
      <c r="G26" s="97"/>
      <c r="H26" s="159" t="s">
        <v>141</v>
      </c>
      <c r="I26" s="160">
        <f>C$34</f>
        <v>100</v>
      </c>
      <c r="J26" s="97"/>
      <c r="K26" s="187" t="s">
        <v>143</v>
      </c>
      <c r="L26" s="190">
        <f>E$36</f>
        <v>2100</v>
      </c>
      <c r="N26" s="159" t="s">
        <v>210</v>
      </c>
      <c r="O26" s="97">
        <v>1.0</v>
      </c>
      <c r="P26" s="303">
        <f>-CUMIPMT($L$13/12,$L$14*12,$L$12,(1+(12*(O26-1))),(12*O26),0)</f>
        <v>14486.09801</v>
      </c>
      <c r="R26" s="304" t="s">
        <v>113</v>
      </c>
      <c r="S26" s="306" t="s">
        <v>211</v>
      </c>
      <c r="T26" s="306" t="s">
        <v>212</v>
      </c>
      <c r="U26" s="307" t="s">
        <v>213</v>
      </c>
      <c r="Y26" s="180">
        <v>18.0</v>
      </c>
      <c r="Z26" s="182">
        <f t="shared" si="1"/>
        <v>5384.026654</v>
      </c>
    </row>
    <row r="27" ht="15.75" customHeight="1">
      <c r="A27" s="97"/>
      <c r="B27" s="298">
        <v>19.0</v>
      </c>
      <c r="C27" s="309"/>
      <c r="D27" s="153"/>
      <c r="E27" s="184"/>
      <c r="F27" s="294"/>
      <c r="G27" s="97"/>
      <c r="H27" s="159" t="s">
        <v>150</v>
      </c>
      <c r="I27" s="210">
        <f>SUM(C$35:C$39)</f>
        <v>0</v>
      </c>
      <c r="J27" s="97"/>
      <c r="K27" s="187" t="s">
        <v>151</v>
      </c>
      <c r="L27" s="190">
        <f>L23*L24</f>
        <v>207900</v>
      </c>
      <c r="N27" s="166" t="s">
        <v>214</v>
      </c>
      <c r="O27" s="167">
        <v>1.0</v>
      </c>
      <c r="P27" s="310">
        <f>SUM($P$25+$P26)</f>
        <v>22122.46165</v>
      </c>
      <c r="R27" s="311">
        <v>1.0</v>
      </c>
      <c r="S27" s="312">
        <f>L8+(L8*$S$24)</f>
        <v>215250</v>
      </c>
      <c r="T27" s="313">
        <f>S27-L8</f>
        <v>5250</v>
      </c>
      <c r="U27" s="314">
        <f t="shared" ref="U27:U31" si="8">T27/$L$10</f>
        <v>2.5</v>
      </c>
      <c r="Y27" s="180">
        <v>19.0</v>
      </c>
      <c r="Z27" s="182">
        <f t="shared" si="1"/>
        <v>5572.467587</v>
      </c>
    </row>
    <row r="28" ht="15.75" customHeight="1">
      <c r="A28" s="97"/>
      <c r="B28" s="298">
        <v>20.0</v>
      </c>
      <c r="C28" s="315"/>
      <c r="D28" s="316"/>
      <c r="E28" s="317"/>
      <c r="F28" s="318"/>
      <c r="G28" s="97"/>
      <c r="H28" s="159" t="s">
        <v>154</v>
      </c>
      <c r="I28" s="160">
        <f>C$41*I23</f>
        <v>0</v>
      </c>
      <c r="J28" s="97"/>
      <c r="K28" s="187" t="s">
        <v>155</v>
      </c>
      <c r="L28" s="215">
        <f>E$34</f>
        <v>0.07</v>
      </c>
      <c r="N28" s="134" t="s">
        <v>209</v>
      </c>
      <c r="O28" s="97">
        <v>2.0</v>
      </c>
      <c r="P28" s="301">
        <f>(P21*$L$8)/27.5</f>
        <v>7636.363636</v>
      </c>
      <c r="R28" s="319">
        <v>2.0</v>
      </c>
      <c r="S28" s="320">
        <f t="shared" ref="S28:S31" si="10">S27+(S27*$S$24)</f>
        <v>220631.25</v>
      </c>
      <c r="T28" s="321">
        <f t="shared" ref="T28:T31" si="11">S28-S27</f>
        <v>5381.25</v>
      </c>
      <c r="U28" s="322">
        <f t="shared" si="8"/>
        <v>2.5625</v>
      </c>
      <c r="Y28" s="323">
        <v>20.0</v>
      </c>
      <c r="Z28" s="324">
        <f t="shared" si="1"/>
        <v>5767.503952</v>
      </c>
    </row>
    <row r="29" ht="15.75" customHeight="1">
      <c r="A29" s="97"/>
      <c r="B29" s="325" t="s">
        <v>215</v>
      </c>
      <c r="C29" s="326"/>
      <c r="D29" s="327"/>
      <c r="E29" s="328">
        <f t="shared" ref="E29:F29" si="9">SUM(E9:E28)</f>
        <v>2000</v>
      </c>
      <c r="F29" s="329">
        <f t="shared" si="9"/>
        <v>3000</v>
      </c>
      <c r="G29" s="97"/>
      <c r="H29" s="159" t="s">
        <v>162</v>
      </c>
      <c r="I29" s="160">
        <f>C42*I23</f>
        <v>150</v>
      </c>
      <c r="J29" s="97"/>
      <c r="K29" s="187" t="s">
        <v>164</v>
      </c>
      <c r="L29" s="221">
        <f>E$35</f>
        <v>30</v>
      </c>
      <c r="N29" s="159" t="s">
        <v>210</v>
      </c>
      <c r="O29" s="97">
        <v>2.0</v>
      </c>
      <c r="P29" s="303">
        <f>-CUMIPMT($L$13/12,$L$14*12,$L$12,(1+(12*(O29-1))),(12*O29),0)</f>
        <v>14333.43086</v>
      </c>
      <c r="R29" s="319">
        <v>3.0</v>
      </c>
      <c r="S29" s="320">
        <f t="shared" si="10"/>
        <v>226147.0313</v>
      </c>
      <c r="T29" s="321">
        <f t="shared" si="11"/>
        <v>5515.78125</v>
      </c>
      <c r="U29" s="322">
        <f t="shared" si="8"/>
        <v>2.6265625</v>
      </c>
      <c r="Y29" s="178"/>
    </row>
    <row r="30" ht="15.75" customHeight="1">
      <c r="A30" s="97"/>
      <c r="G30" s="97"/>
      <c r="H30" s="225" t="s">
        <v>167</v>
      </c>
      <c r="I30" s="227">
        <f>SUM(I24:I29)</f>
        <v>366.6666667</v>
      </c>
      <c r="J30" s="97"/>
      <c r="K30" s="225" t="s">
        <v>216</v>
      </c>
      <c r="L30" s="227">
        <f>-pmt(L28/12,L29*12, L27)</f>
        <v>1383.163887</v>
      </c>
      <c r="N30" s="240" t="s">
        <v>214</v>
      </c>
      <c r="O30" s="332">
        <v>2.0</v>
      </c>
      <c r="P30" s="333">
        <f>SUM($P$25+$P29)</f>
        <v>21969.7945</v>
      </c>
      <c r="R30" s="319">
        <v>4.0</v>
      </c>
      <c r="S30" s="320">
        <f t="shared" si="10"/>
        <v>231800.707</v>
      </c>
      <c r="T30" s="321">
        <f t="shared" si="11"/>
        <v>5653.675781</v>
      </c>
      <c r="U30" s="322">
        <f t="shared" si="8"/>
        <v>2.692226563</v>
      </c>
    </row>
    <row r="31" ht="15.75" customHeight="1">
      <c r="A31" s="97"/>
      <c r="B31" s="104" t="s">
        <v>217</v>
      </c>
      <c r="D31" s="104" t="s">
        <v>195</v>
      </c>
      <c r="G31" s="97"/>
      <c r="H31" s="240" t="s">
        <v>178</v>
      </c>
      <c r="I31" s="241">
        <f>I23-I30</f>
        <v>2633.333333</v>
      </c>
      <c r="J31" s="97"/>
      <c r="K31" s="240" t="s">
        <v>181</v>
      </c>
      <c r="L31" s="334">
        <f>I31-L30</f>
        <v>1250.169446</v>
      </c>
      <c r="N31" s="134" t="s">
        <v>209</v>
      </c>
      <c r="O31" s="300">
        <v>3.0</v>
      </c>
      <c r="P31" s="301">
        <f>(P21*$L$8)/27.5</f>
        <v>7636.363636</v>
      </c>
      <c r="R31" s="336">
        <v>5.0</v>
      </c>
      <c r="S31" s="337">
        <f t="shared" si="10"/>
        <v>237595.7247</v>
      </c>
      <c r="T31" s="338">
        <f t="shared" si="11"/>
        <v>5795.017676</v>
      </c>
      <c r="U31" s="339">
        <f t="shared" si="8"/>
        <v>2.759532227</v>
      </c>
      <c r="W31" s="340"/>
    </row>
    <row r="32" ht="15.75" customHeight="1">
      <c r="A32" s="97"/>
      <c r="G32" s="97"/>
      <c r="H32" s="240" t="s">
        <v>189</v>
      </c>
      <c r="I32" s="241">
        <f>I31*12</f>
        <v>31600</v>
      </c>
      <c r="J32" s="97"/>
      <c r="K32" s="240" t="s">
        <v>190</v>
      </c>
      <c r="L32" s="241">
        <f>L31*12</f>
        <v>15002.03335</v>
      </c>
      <c r="N32" s="159" t="s">
        <v>210</v>
      </c>
      <c r="O32" s="97">
        <v>3.0</v>
      </c>
      <c r="P32" s="303">
        <f>-CUMIPMT($L$13/12,$L$14*12,$L$12,(1+(12*(O32-1))),(12*O32),0)</f>
        <v>14169.72738</v>
      </c>
    </row>
    <row r="33" ht="15.75" customHeight="1">
      <c r="A33" s="97"/>
      <c r="B33" s="341" t="s">
        <v>218</v>
      </c>
      <c r="C33" s="342">
        <v>1400.0</v>
      </c>
      <c r="D33" s="341" t="s">
        <v>219</v>
      </c>
      <c r="E33" s="343">
        <v>0.01</v>
      </c>
      <c r="F33" s="344" t="s">
        <v>220</v>
      </c>
      <c r="G33" s="97"/>
      <c r="H33" s="166" t="s">
        <v>192</v>
      </c>
      <c r="I33" s="259">
        <f>I32/L23</f>
        <v>0.1504761905</v>
      </c>
      <c r="J33" s="97"/>
      <c r="K33" s="260" t="s">
        <v>194</v>
      </c>
      <c r="L33" s="262">
        <f>L32/(L25+L26)</f>
        <v>3.571912702</v>
      </c>
      <c r="N33" s="166" t="s">
        <v>214</v>
      </c>
      <c r="O33" s="167">
        <v>3.0</v>
      </c>
      <c r="P33" s="310">
        <f>SUM($P$25+$P32)</f>
        <v>21806.09102</v>
      </c>
      <c r="R33" s="104" t="s">
        <v>221</v>
      </c>
    </row>
    <row r="34" ht="15.75" customHeight="1">
      <c r="A34" s="97"/>
      <c r="B34" s="345" t="s">
        <v>222</v>
      </c>
      <c r="C34" s="346">
        <v>100.0</v>
      </c>
      <c r="D34" s="345" t="s">
        <v>223</v>
      </c>
      <c r="E34" s="347">
        <v>0.07</v>
      </c>
      <c r="G34" s="97"/>
      <c r="H34" s="97"/>
      <c r="I34" s="97"/>
      <c r="J34" s="97"/>
      <c r="K34" s="97"/>
      <c r="L34" s="97"/>
      <c r="N34" s="134" t="s">
        <v>209</v>
      </c>
      <c r="O34" s="97">
        <v>4.0</v>
      </c>
      <c r="P34" s="301">
        <f>(P21*$L$8)/27.5</f>
        <v>7636.363636</v>
      </c>
      <c r="R34" s="147" t="s">
        <v>95</v>
      </c>
      <c r="S34" s="348">
        <v>1.0</v>
      </c>
      <c r="T34" s="147">
        <v>2.0</v>
      </c>
      <c r="U34" s="348">
        <v>3.0</v>
      </c>
      <c r="V34" s="147">
        <v>4.0</v>
      </c>
      <c r="W34" s="349">
        <v>5.0</v>
      </c>
    </row>
    <row r="35" ht="15.75" customHeight="1">
      <c r="A35" s="97"/>
      <c r="B35" s="345" t="s">
        <v>224</v>
      </c>
      <c r="C35" s="346">
        <v>0.0</v>
      </c>
      <c r="D35" s="345" t="s">
        <v>225</v>
      </c>
      <c r="E35" s="350">
        <v>30.0</v>
      </c>
      <c r="G35" s="97"/>
      <c r="H35" s="98"/>
      <c r="N35" s="159" t="s">
        <v>210</v>
      </c>
      <c r="O35" s="97">
        <v>4.0</v>
      </c>
      <c r="P35" s="303">
        <f>-CUMIPMT($L$13/12,$L$14*12,$L$12,(1+(12*(O35-1))),(12*O35),0)</f>
        <v>13994.18977</v>
      </c>
      <c r="R35" s="147" t="s">
        <v>226</v>
      </c>
      <c r="S35" s="352"/>
      <c r="T35" s="353"/>
      <c r="U35" s="353"/>
      <c r="V35" s="353"/>
      <c r="W35" s="354"/>
    </row>
    <row r="36" ht="15.75" customHeight="1">
      <c r="A36" s="97"/>
      <c r="B36" s="345" t="s">
        <v>227</v>
      </c>
      <c r="C36" s="346">
        <v>0.0</v>
      </c>
      <c r="D36" s="355" t="s">
        <v>143</v>
      </c>
      <c r="E36" s="356">
        <f>0.01*C5</f>
        <v>2100</v>
      </c>
      <c r="F36" s="357" t="s">
        <v>228</v>
      </c>
      <c r="I36" s="97"/>
      <c r="J36" s="97"/>
      <c r="K36" s="97"/>
      <c r="L36" s="97"/>
      <c r="N36" s="240" t="s">
        <v>214</v>
      </c>
      <c r="O36" s="332">
        <v>4.0</v>
      </c>
      <c r="P36" s="333">
        <f>SUM($P$25+$P35)</f>
        <v>21630.55341</v>
      </c>
      <c r="R36" s="358" t="s">
        <v>229</v>
      </c>
      <c r="S36" s="359">
        <f t="shared" ref="S36:W36" si="12">$L$33</f>
        <v>3.571912702</v>
      </c>
      <c r="T36" s="360">
        <f t="shared" si="12"/>
        <v>3.571912702</v>
      </c>
      <c r="U36" s="361">
        <f t="shared" si="12"/>
        <v>3.571912702</v>
      </c>
      <c r="V36" s="360">
        <f t="shared" si="12"/>
        <v>3.571912702</v>
      </c>
      <c r="W36" s="362">
        <f t="shared" si="12"/>
        <v>3.571912702</v>
      </c>
    </row>
    <row r="37" ht="15.75" customHeight="1">
      <c r="A37" s="97"/>
      <c r="B37" s="345" t="s">
        <v>230</v>
      </c>
      <c r="C37" s="346">
        <v>0.0</v>
      </c>
      <c r="G37" s="97"/>
      <c r="H37" s="98"/>
      <c r="I37" s="98"/>
      <c r="J37" s="97"/>
      <c r="K37" s="98"/>
      <c r="L37" s="97"/>
      <c r="N37" s="134" t="s">
        <v>209</v>
      </c>
      <c r="O37" s="300">
        <v>5.0</v>
      </c>
      <c r="P37" s="301">
        <f>(P21*$L$8)/27.5</f>
        <v>7636.363636</v>
      </c>
      <c r="R37" s="358" t="s">
        <v>231</v>
      </c>
      <c r="S37" s="363">
        <f>P9</f>
        <v>1.005651731</v>
      </c>
      <c r="T37" s="364">
        <f>P11</f>
        <v>1.078350376</v>
      </c>
      <c r="U37" s="367">
        <f>P13</f>
        <v>1.156304412</v>
      </c>
      <c r="V37" s="364">
        <f>P15</f>
        <v>1.239893751</v>
      </c>
      <c r="W37" s="369">
        <f>P17</f>
        <v>1.329525771</v>
      </c>
    </row>
    <row r="38" ht="15.75" customHeight="1">
      <c r="A38" s="97"/>
      <c r="B38" s="345" t="s">
        <v>232</v>
      </c>
      <c r="C38" s="346">
        <v>0.0</v>
      </c>
      <c r="G38" s="97"/>
      <c r="H38" s="98"/>
      <c r="I38" s="370"/>
      <c r="J38" s="97"/>
      <c r="K38" s="97"/>
      <c r="L38" s="371"/>
      <c r="N38" s="159" t="s">
        <v>210</v>
      </c>
      <c r="O38" s="97">
        <v>5.0</v>
      </c>
      <c r="P38" s="303">
        <f>-CUMIPMT($L$13/12,$L$14*12,$L$12,(1+(12*(O38-1))),(12*O38),0)</f>
        <v>13805.96253</v>
      </c>
      <c r="R38" s="358" t="s">
        <v>234</v>
      </c>
      <c r="S38" s="378">
        <f>(P27*P22)/L10</f>
        <v>2.212246165</v>
      </c>
      <c r="T38" s="381">
        <f>(P30*P22)/L10</f>
        <v>2.19697945</v>
      </c>
      <c r="U38" s="383">
        <f>(P33*P22)/L10</f>
        <v>2.180609102</v>
      </c>
      <c r="V38" s="381">
        <f>(P36*P22)/L10</f>
        <v>2.163055341</v>
      </c>
      <c r="W38" s="385">
        <f>(P39*P22)/L10</f>
        <v>2.144232617</v>
      </c>
    </row>
    <row r="39" ht="15.75" customHeight="1">
      <c r="A39" s="97"/>
      <c r="B39" s="345" t="s">
        <v>238</v>
      </c>
      <c r="C39" s="346">
        <v>0.0</v>
      </c>
      <c r="G39" s="97"/>
      <c r="H39" s="97"/>
      <c r="I39" s="371"/>
      <c r="J39" s="97"/>
      <c r="K39" s="97"/>
      <c r="L39" s="387"/>
      <c r="N39" s="166" t="s">
        <v>214</v>
      </c>
      <c r="O39" s="167">
        <v>5.0</v>
      </c>
      <c r="P39" s="310">
        <f>SUM($P$25+$P38)</f>
        <v>21442.32617</v>
      </c>
      <c r="R39" s="388" t="s">
        <v>239</v>
      </c>
      <c r="S39" s="363">
        <f>U27</f>
        <v>2.5</v>
      </c>
      <c r="T39" s="364">
        <f>U28</f>
        <v>2.5625</v>
      </c>
      <c r="U39" s="367">
        <f>U29</f>
        <v>2.6265625</v>
      </c>
      <c r="V39" s="364">
        <f>U30</f>
        <v>2.692226563</v>
      </c>
      <c r="W39" s="369">
        <f>U31</f>
        <v>2.759532227</v>
      </c>
    </row>
    <row r="40" ht="15.75" customHeight="1">
      <c r="A40" s="97"/>
      <c r="B40" s="345" t="s">
        <v>240</v>
      </c>
      <c r="C40" s="347">
        <v>0.0</v>
      </c>
      <c r="G40" s="97"/>
      <c r="N40" s="396" t="s">
        <v>241</v>
      </c>
      <c r="O40" s="397"/>
      <c r="P40" s="398">
        <f>(AVERAGE(P27,P30,P33,P36,P39))*P22</f>
        <v>4576.791523</v>
      </c>
      <c r="R40" s="399" t="s">
        <v>242</v>
      </c>
      <c r="S40" s="400">
        <f t="shared" ref="S40:W40" si="13">SUM(S36:S39)</f>
        <v>9.289810599</v>
      </c>
      <c r="T40" s="401">
        <f t="shared" si="13"/>
        <v>9.409742528</v>
      </c>
      <c r="U40" s="402">
        <f t="shared" si="13"/>
        <v>9.535388716</v>
      </c>
      <c r="V40" s="401">
        <f t="shared" si="13"/>
        <v>9.667088357</v>
      </c>
      <c r="W40" s="403">
        <f t="shared" si="13"/>
        <v>9.805203317</v>
      </c>
    </row>
    <row r="41" ht="15.75" customHeight="1">
      <c r="A41" s="97"/>
      <c r="B41" s="345" t="s">
        <v>249</v>
      </c>
      <c r="C41" s="347">
        <v>0.0</v>
      </c>
      <c r="G41" s="97"/>
      <c r="N41" s="283" t="s">
        <v>251</v>
      </c>
      <c r="O41" s="235"/>
      <c r="P41" s="405">
        <f>P40/L10</f>
        <v>2.179424535</v>
      </c>
      <c r="R41" s="399" t="s">
        <v>252</v>
      </c>
      <c r="S41" s="408">
        <f t="shared" ref="S41:W41" si="14">S40*$L$10</f>
        <v>19508.60226</v>
      </c>
      <c r="T41" s="410">
        <f t="shared" si="14"/>
        <v>19760.45931</v>
      </c>
      <c r="U41" s="408">
        <f t="shared" si="14"/>
        <v>20024.3163</v>
      </c>
      <c r="V41" s="410">
        <f t="shared" si="14"/>
        <v>20300.88555</v>
      </c>
      <c r="W41" s="412">
        <f t="shared" si="14"/>
        <v>20590.92696</v>
      </c>
    </row>
    <row r="42" ht="15.75" customHeight="1">
      <c r="A42" s="97"/>
      <c r="B42" s="355" t="s">
        <v>260</v>
      </c>
      <c r="C42" s="413">
        <v>0.05</v>
      </c>
      <c r="G42" s="97"/>
      <c r="H42" s="97"/>
      <c r="I42" s="371"/>
      <c r="J42" s="97"/>
      <c r="K42" s="414"/>
      <c r="L42" s="416"/>
    </row>
    <row r="43" ht="15.75" customHeight="1">
      <c r="A43" s="97"/>
      <c r="G43" s="97"/>
      <c r="H43" s="97"/>
      <c r="I43" s="371"/>
      <c r="J43" s="97"/>
      <c r="K43" s="414"/>
      <c r="L43" s="416"/>
    </row>
    <row r="44" ht="15.75" customHeight="1">
      <c r="A44" s="97"/>
      <c r="G44" s="97"/>
      <c r="H44" s="97"/>
      <c r="I44" s="371"/>
      <c r="J44" s="97"/>
      <c r="K44" s="414"/>
      <c r="L44" s="416"/>
    </row>
    <row r="45" ht="15.75" customHeight="1">
      <c r="A45" s="97"/>
      <c r="G45" s="97"/>
      <c r="H45" s="97"/>
      <c r="I45" s="371"/>
      <c r="J45" s="97"/>
      <c r="K45" s="414"/>
      <c r="L45" s="417"/>
    </row>
    <row r="46" ht="15.75" customHeight="1">
      <c r="A46" s="97"/>
      <c r="G46" s="97"/>
      <c r="H46" s="97"/>
      <c r="I46" s="371"/>
      <c r="J46" s="97"/>
      <c r="K46" s="414"/>
      <c r="L46" s="417"/>
    </row>
    <row r="47" ht="15.75" customHeight="1">
      <c r="A47" s="97"/>
      <c r="G47" s="97"/>
      <c r="H47" s="97"/>
      <c r="I47" s="97"/>
      <c r="J47" s="97"/>
      <c r="K47" s="418"/>
      <c r="L47" s="419"/>
    </row>
    <row r="48" ht="15.75" customHeight="1">
      <c r="A48" s="97"/>
      <c r="G48" s="97"/>
      <c r="H48" s="98"/>
      <c r="I48" s="370"/>
      <c r="J48" s="97"/>
      <c r="K48" s="98"/>
      <c r="L48" s="420"/>
    </row>
    <row r="49" ht="15.75" customHeight="1">
      <c r="A49" s="97"/>
      <c r="E49" s="97"/>
      <c r="F49" s="97"/>
      <c r="G49" s="97"/>
      <c r="H49" s="98"/>
      <c r="I49" s="370"/>
      <c r="J49" s="97"/>
      <c r="K49" s="98"/>
      <c r="L49" s="370"/>
    </row>
    <row r="50" ht="15.75" customHeight="1">
      <c r="A50" s="97"/>
      <c r="E50" s="97"/>
      <c r="F50" s="97"/>
      <c r="G50" s="97"/>
      <c r="H50" s="98"/>
      <c r="I50" s="422"/>
      <c r="J50" s="97"/>
      <c r="K50" s="423"/>
      <c r="L50" s="425"/>
    </row>
    <row r="51" ht="15.75" customHeight="1">
      <c r="A51" s="97"/>
      <c r="E51" s="97"/>
      <c r="F51" s="97"/>
      <c r="G51" s="97"/>
    </row>
    <row r="52" ht="15.75" customHeight="1">
      <c r="B52" s="97"/>
      <c r="C52" s="97"/>
      <c r="D52" s="97"/>
      <c r="E52" s="97"/>
      <c r="F52" s="97"/>
    </row>
    <row r="53" ht="15.75" customHeight="1">
      <c r="B53" s="97"/>
      <c r="C53" s="97"/>
      <c r="D53" s="97"/>
      <c r="E53" s="97"/>
      <c r="F53" s="97"/>
    </row>
    <row r="54" ht="15.75" customHeight="1">
      <c r="B54" s="97"/>
      <c r="C54" s="97"/>
      <c r="D54" s="97"/>
      <c r="E54" s="97"/>
      <c r="F54" s="97"/>
    </row>
    <row r="55" ht="15.75" customHeight="1">
      <c r="B55" s="97"/>
      <c r="C55" s="97"/>
      <c r="D55" s="97"/>
      <c r="E55" s="97"/>
      <c r="F55" s="97"/>
    </row>
    <row r="56" ht="15.75" customHeight="1">
      <c r="B56" s="97"/>
      <c r="C56" s="97"/>
      <c r="D56" s="97"/>
      <c r="E56" s="97"/>
      <c r="F56" s="97"/>
    </row>
    <row r="57" ht="15.75" customHeight="1">
      <c r="B57" s="97"/>
      <c r="C57" s="97"/>
      <c r="D57" s="97"/>
      <c r="E57" s="97"/>
      <c r="F57" s="97"/>
    </row>
    <row r="58" ht="15.75" customHeight="1">
      <c r="B58" s="97"/>
      <c r="C58" s="97"/>
      <c r="D58" s="97"/>
      <c r="E58" s="97"/>
      <c r="F58" s="97"/>
    </row>
    <row r="59" ht="15.75" customHeight="1">
      <c r="B59" s="97"/>
      <c r="C59" s="97"/>
      <c r="D59" s="97"/>
      <c r="E59" s="97"/>
      <c r="F59" s="97"/>
    </row>
    <row r="60" ht="15.75" customHeight="1">
      <c r="B60" s="97"/>
      <c r="C60" s="97"/>
      <c r="D60" s="97"/>
      <c r="E60" s="97"/>
      <c r="F60" s="9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2:I2"/>
    <mergeCell ref="Y4:Z4"/>
    <mergeCell ref="H5:L5"/>
    <mergeCell ref="N5:P5"/>
    <mergeCell ref="R5:T5"/>
    <mergeCell ref="H6:L6"/>
    <mergeCell ref="R6:S6"/>
    <mergeCell ref="R8:S8"/>
    <mergeCell ref="R9:S9"/>
    <mergeCell ref="R10:S10"/>
    <mergeCell ref="R11:S11"/>
    <mergeCell ref="R12:S12"/>
    <mergeCell ref="R13:S13"/>
    <mergeCell ref="R14:S14"/>
    <mergeCell ref="R33:T33"/>
    <mergeCell ref="H21:L21"/>
    <mergeCell ref="N21:O21"/>
    <mergeCell ref="R21:S21"/>
    <mergeCell ref="R23:T23"/>
    <mergeCell ref="H35:L35"/>
    <mergeCell ref="F36:H36"/>
    <mergeCell ref="N41:O41"/>
    <mergeCell ref="R15:S15"/>
    <mergeCell ref="R16:S16"/>
    <mergeCell ref="R17:S17"/>
    <mergeCell ref="R18:S18"/>
    <mergeCell ref="H20:L20"/>
    <mergeCell ref="N20:P20"/>
    <mergeCell ref="R20:S20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8.14"/>
    <col customWidth="1" min="3" max="3" width="14.29"/>
    <col customWidth="1" min="4" max="4" width="18.14"/>
    <col customWidth="1" min="5" max="5" width="13.71"/>
    <col customWidth="1" min="6" max="6" width="13.86"/>
    <col customWidth="1" min="7" max="7" width="5.57"/>
    <col customWidth="1" min="8" max="8" width="27.86"/>
    <col customWidth="1" min="10" max="10" width="5.43"/>
    <col customWidth="1" min="11" max="11" width="20.29"/>
    <col customWidth="1" min="13" max="13" width="5.57"/>
    <col customWidth="1" min="14" max="14" width="26.71"/>
    <col customWidth="1" min="17" max="17" width="6.86"/>
    <col customWidth="1" min="18" max="18" width="15.0"/>
    <col customWidth="1" min="19" max="19" width="14.57"/>
    <col customWidth="1" min="20" max="20" width="12.71"/>
    <col customWidth="1" min="21" max="22" width="13.57"/>
    <col customWidth="1" min="23" max="23" width="13.86"/>
    <col customWidth="1" min="24" max="24" width="0.57"/>
    <col customWidth="1" min="25" max="25" width="20.14"/>
    <col customWidth="1" min="26" max="26" width="14.57"/>
    <col customWidth="1" min="27" max="30" width="8.0"/>
  </cols>
  <sheetData>
    <row r="1" ht="15.75" customHeight="1">
      <c r="S1" s="97"/>
      <c r="T1" s="98"/>
      <c r="U1" s="98"/>
      <c r="V1" s="98"/>
    </row>
    <row r="2" ht="15.75" customHeight="1">
      <c r="A2" s="97"/>
      <c r="B2" s="99" t="s">
        <v>75</v>
      </c>
      <c r="C2" s="15"/>
      <c r="D2" s="15"/>
      <c r="E2" s="15"/>
      <c r="F2" s="15"/>
      <c r="G2" s="15"/>
      <c r="H2" s="15"/>
      <c r="I2" s="17"/>
      <c r="J2" s="98"/>
      <c r="K2" s="98"/>
      <c r="L2" s="98"/>
      <c r="N2" s="101"/>
      <c r="O2" s="97"/>
      <c r="P2" s="97"/>
      <c r="R2" s="101"/>
      <c r="S2" s="98"/>
      <c r="T2" s="98"/>
      <c r="V2" s="98"/>
    </row>
    <row r="3" ht="15.75" customHeight="1">
      <c r="A3" s="97"/>
      <c r="B3" s="98"/>
      <c r="C3" s="102"/>
      <c r="G3" s="97"/>
      <c r="H3" s="98"/>
      <c r="I3" s="98"/>
      <c r="J3" s="98"/>
      <c r="K3" s="98"/>
      <c r="L3" s="98"/>
      <c r="N3" s="101"/>
      <c r="O3" s="97"/>
      <c r="P3" s="97"/>
      <c r="R3" s="101"/>
      <c r="S3" s="98"/>
      <c r="T3" s="98"/>
      <c r="V3" s="98"/>
    </row>
    <row r="4" ht="15.75" customHeight="1">
      <c r="A4" s="97"/>
      <c r="B4" s="98"/>
      <c r="C4" s="102"/>
      <c r="G4" s="97"/>
      <c r="H4" s="98"/>
      <c r="I4" s="98"/>
      <c r="J4" s="98"/>
      <c r="K4" s="98"/>
      <c r="L4" s="98"/>
      <c r="N4" s="101"/>
      <c r="O4" s="97"/>
      <c r="P4" s="97"/>
      <c r="R4" s="101"/>
      <c r="S4" s="98"/>
      <c r="T4" s="98"/>
      <c r="V4" s="98"/>
      <c r="Y4" s="104" t="s">
        <v>77</v>
      </c>
    </row>
    <row r="5" ht="15.75" customHeight="1">
      <c r="A5" s="97"/>
      <c r="B5" s="106" t="s">
        <v>78</v>
      </c>
      <c r="C5" s="109">
        <v>1500000.0</v>
      </c>
      <c r="E5" s="106" t="s">
        <v>80</v>
      </c>
      <c r="F5" s="109">
        <v>1500000.0</v>
      </c>
      <c r="G5" s="97"/>
      <c r="H5" s="302" t="s">
        <v>81</v>
      </c>
      <c r="N5" s="101" t="s">
        <v>82</v>
      </c>
      <c r="R5" s="101" t="s">
        <v>83</v>
      </c>
      <c r="V5" s="98"/>
      <c r="X5" s="104"/>
      <c r="Y5" s="112" t="s">
        <v>84</v>
      </c>
      <c r="Z5" s="115">
        <v>0.035</v>
      </c>
    </row>
    <row r="6" ht="15.75" customHeight="1">
      <c r="A6" s="97"/>
      <c r="C6" s="98"/>
      <c r="E6" s="305">
        <f>E9/0.4</f>
        <v>33500</v>
      </c>
      <c r="F6" s="308">
        <f>E6*12</f>
        <v>402000</v>
      </c>
      <c r="G6" s="97"/>
      <c r="H6" s="97"/>
      <c r="I6" s="97"/>
      <c r="J6" s="97"/>
      <c r="K6" s="97"/>
      <c r="L6" s="97"/>
      <c r="N6" s="98"/>
      <c r="O6" s="98"/>
      <c r="P6" s="98"/>
      <c r="R6" s="106" t="s">
        <v>87</v>
      </c>
      <c r="S6" s="15"/>
      <c r="T6" s="121">
        <v>1.25</v>
      </c>
      <c r="X6" s="104"/>
      <c r="Y6" s="122" t="s">
        <v>88</v>
      </c>
      <c r="Z6" s="123">
        <f>F29</f>
        <v>13400</v>
      </c>
    </row>
    <row r="7" ht="15.75" customHeight="1">
      <c r="A7" s="97"/>
      <c r="B7" s="98" t="s">
        <v>90</v>
      </c>
      <c r="C7" s="97"/>
      <c r="D7" s="97"/>
      <c r="E7" s="97"/>
      <c r="F7" s="97"/>
      <c r="G7" s="97"/>
      <c r="H7" s="106" t="s">
        <v>91</v>
      </c>
      <c r="I7" s="124" t="s">
        <v>92</v>
      </c>
      <c r="J7" s="97"/>
      <c r="K7" s="106" t="s">
        <v>94</v>
      </c>
      <c r="L7" s="125"/>
      <c r="N7" s="98"/>
      <c r="O7" s="98" t="s">
        <v>95</v>
      </c>
      <c r="P7" s="98" t="s">
        <v>96</v>
      </c>
    </row>
    <row r="8" ht="15.75" customHeight="1">
      <c r="A8" s="97"/>
      <c r="B8" s="127" t="s">
        <v>97</v>
      </c>
      <c r="C8" s="129" t="s">
        <v>98</v>
      </c>
      <c r="D8" s="129" t="s">
        <v>99</v>
      </c>
      <c r="E8" s="129" t="s">
        <v>100</v>
      </c>
      <c r="F8" s="130" t="s">
        <v>101</v>
      </c>
      <c r="G8" s="97"/>
      <c r="H8" s="131" t="s">
        <v>102</v>
      </c>
      <c r="I8" s="133">
        <f>E29</f>
        <v>13400</v>
      </c>
      <c r="J8" s="97"/>
      <c r="K8" s="134" t="s">
        <v>78</v>
      </c>
      <c r="L8" s="135">
        <f>C5</f>
        <v>1500000</v>
      </c>
      <c r="N8" s="134" t="s">
        <v>105</v>
      </c>
      <c r="O8" s="136">
        <v>1.0</v>
      </c>
      <c r="P8" s="139">
        <f>($L$15*12)-P26</f>
        <v>10205.49372</v>
      </c>
      <c r="R8" s="140"/>
      <c r="S8" s="141"/>
      <c r="T8" s="142" t="s">
        <v>109</v>
      </c>
      <c r="U8" s="143" t="s">
        <v>111</v>
      </c>
      <c r="V8" s="144" t="s">
        <v>112</v>
      </c>
      <c r="X8" s="104"/>
      <c r="Y8" s="146" t="s">
        <v>113</v>
      </c>
      <c r="Z8" s="147" t="s">
        <v>101</v>
      </c>
    </row>
    <row r="9" ht="15.75" customHeight="1">
      <c r="A9" s="97"/>
      <c r="B9" s="149">
        <v>1.0</v>
      </c>
      <c r="C9" s="151">
        <v>3.5</v>
      </c>
      <c r="D9" s="153">
        <v>3.0</v>
      </c>
      <c r="E9" s="154">
        <v>13400.0</v>
      </c>
      <c r="F9" s="157">
        <v>13400.0</v>
      </c>
      <c r="G9" s="97"/>
      <c r="H9" s="159" t="s">
        <v>116</v>
      </c>
      <c r="I9" s="160">
        <f>C$40*I8</f>
        <v>0</v>
      </c>
      <c r="J9" s="97"/>
      <c r="K9" s="159" t="s">
        <v>118</v>
      </c>
      <c r="L9" s="164">
        <f>1-E$33</f>
        <v>0.9</v>
      </c>
      <c r="N9" s="166" t="s">
        <v>122</v>
      </c>
      <c r="O9" s="167">
        <v>1.0</v>
      </c>
      <c r="P9" s="168">
        <f>((P8)/$L$10)</f>
        <v>0.06803662481</v>
      </c>
      <c r="R9" s="171" t="s">
        <v>102</v>
      </c>
      <c r="S9" s="19"/>
      <c r="T9" s="172"/>
      <c r="U9" s="174">
        <f>I8*12</f>
        <v>160800</v>
      </c>
      <c r="V9" s="177">
        <f>I8*12</f>
        <v>160800</v>
      </c>
      <c r="X9" s="178"/>
      <c r="Y9" s="180">
        <v>1.0</v>
      </c>
      <c r="Z9" s="182">
        <f t="shared" ref="Z9:Z28" si="1">Z$6*((1+Z$5)^(Y9-1))</f>
        <v>13400</v>
      </c>
    </row>
    <row r="10" ht="15.75" customHeight="1">
      <c r="A10" s="97"/>
      <c r="B10" s="149">
        <v>2.0</v>
      </c>
      <c r="C10" s="183"/>
      <c r="D10" s="153"/>
      <c r="E10" s="184"/>
      <c r="F10" s="330"/>
      <c r="G10" s="97"/>
      <c r="H10" s="159" t="s">
        <v>11</v>
      </c>
      <c r="I10" s="160">
        <f>C$33/12</f>
        <v>787.5</v>
      </c>
      <c r="J10" s="97"/>
      <c r="K10" s="187" t="s">
        <v>134</v>
      </c>
      <c r="L10" s="190">
        <f>E33*C5</f>
        <v>150000</v>
      </c>
      <c r="N10" s="134" t="s">
        <v>105</v>
      </c>
      <c r="O10" s="136">
        <v>2.0</v>
      </c>
      <c r="P10" s="139">
        <f>($L$15*12)-P29</f>
        <v>11107.56656</v>
      </c>
      <c r="R10" s="193" t="s">
        <v>136</v>
      </c>
      <c r="T10" s="331">
        <v>0.1</v>
      </c>
      <c r="U10" s="195">
        <f>U9*T10</f>
        <v>16080</v>
      </c>
      <c r="V10" s="198">
        <f>I13*12</f>
        <v>0</v>
      </c>
      <c r="X10" s="178"/>
      <c r="Y10" s="180">
        <v>2.0</v>
      </c>
      <c r="Z10" s="182">
        <f t="shared" si="1"/>
        <v>13869</v>
      </c>
    </row>
    <row r="11" ht="15.75" customHeight="1">
      <c r="A11" s="97"/>
      <c r="B11" s="149">
        <v>3.0</v>
      </c>
      <c r="C11" s="183"/>
      <c r="D11" s="153"/>
      <c r="E11" s="184"/>
      <c r="F11" s="330"/>
      <c r="G11" s="97"/>
      <c r="H11" s="159" t="s">
        <v>141</v>
      </c>
      <c r="I11" s="160">
        <f>C34</f>
        <v>32</v>
      </c>
      <c r="J11" s="97"/>
      <c r="K11" s="187" t="s">
        <v>143</v>
      </c>
      <c r="L11" s="190">
        <f>E$36</f>
        <v>45000</v>
      </c>
      <c r="N11" s="166" t="s">
        <v>122</v>
      </c>
      <c r="O11" s="167">
        <v>2.0</v>
      </c>
      <c r="P11" s="168">
        <f>((P10)/$L$10)</f>
        <v>0.07405044371</v>
      </c>
      <c r="R11" s="193" t="s">
        <v>148</v>
      </c>
      <c r="T11" s="331">
        <v>0.08</v>
      </c>
      <c r="U11" s="195">
        <f>U9*T11</f>
        <v>12864</v>
      </c>
      <c r="V11" s="198">
        <f>12*I9</f>
        <v>0</v>
      </c>
      <c r="X11" s="178"/>
      <c r="Y11" s="180">
        <v>3.0</v>
      </c>
      <c r="Z11" s="182">
        <f t="shared" si="1"/>
        <v>14354.415</v>
      </c>
    </row>
    <row r="12" ht="15.75" customHeight="1">
      <c r="A12" s="97"/>
      <c r="B12" s="149">
        <v>4.0</v>
      </c>
      <c r="C12" s="183"/>
      <c r="D12" s="153"/>
      <c r="E12" s="184"/>
      <c r="F12" s="294"/>
      <c r="G12" s="97"/>
      <c r="H12" s="159" t="s">
        <v>150</v>
      </c>
      <c r="I12" s="210">
        <f>SUM(C$35:C$39)</f>
        <v>1500</v>
      </c>
      <c r="J12" s="97"/>
      <c r="K12" s="187" t="s">
        <v>151</v>
      </c>
      <c r="L12" s="190">
        <f>L8*L9</f>
        <v>1350000</v>
      </c>
      <c r="N12" s="134" t="s">
        <v>105</v>
      </c>
      <c r="O12" s="136">
        <v>3.0</v>
      </c>
      <c r="P12" s="139">
        <f>($L$15*12)-P32</f>
        <v>12089.37443</v>
      </c>
      <c r="R12" s="193" t="s">
        <v>153</v>
      </c>
      <c r="T12" s="331">
        <v>0.03</v>
      </c>
      <c r="U12" s="195">
        <f>T12*U9</f>
        <v>4824</v>
      </c>
      <c r="V12" s="198">
        <f>0.03*V9</f>
        <v>4824</v>
      </c>
      <c r="X12" s="178"/>
      <c r="Y12" s="180">
        <v>4.0</v>
      </c>
      <c r="Z12" s="182">
        <f t="shared" si="1"/>
        <v>14856.81953</v>
      </c>
    </row>
    <row r="13" ht="15.75" customHeight="1">
      <c r="A13" s="97"/>
      <c r="B13" s="149">
        <v>5.0</v>
      </c>
      <c r="C13" s="183"/>
      <c r="D13" s="153"/>
      <c r="E13" s="184"/>
      <c r="F13" s="294"/>
      <c r="G13" s="97"/>
      <c r="H13" s="159" t="s">
        <v>154</v>
      </c>
      <c r="I13" s="160">
        <f>C41*E29</f>
        <v>0</v>
      </c>
      <c r="J13" s="97"/>
      <c r="K13" s="187" t="s">
        <v>155</v>
      </c>
      <c r="L13" s="215">
        <f>E$34</f>
        <v>0.085</v>
      </c>
      <c r="N13" s="166" t="s">
        <v>122</v>
      </c>
      <c r="O13" s="167">
        <v>3.0</v>
      </c>
      <c r="P13" s="168">
        <f>((P12)/$L$10)</f>
        <v>0.08059582951</v>
      </c>
      <c r="R13" s="193" t="s">
        <v>158</v>
      </c>
      <c r="T13" s="218"/>
      <c r="U13" s="195">
        <f t="shared" ref="U13:U14" si="2">I10*12</f>
        <v>9450</v>
      </c>
      <c r="V13" s="198">
        <f t="shared" ref="V13:V14" si="3">I10*12</f>
        <v>9450</v>
      </c>
      <c r="X13" s="178"/>
      <c r="Y13" s="180">
        <v>5.0</v>
      </c>
      <c r="Z13" s="182">
        <f t="shared" si="1"/>
        <v>15376.80821</v>
      </c>
    </row>
    <row r="14" ht="15.75" customHeight="1">
      <c r="A14" s="97"/>
      <c r="B14" s="149">
        <v>6.0</v>
      </c>
      <c r="C14" s="183"/>
      <c r="D14" s="153"/>
      <c r="E14" s="184"/>
      <c r="F14" s="294"/>
      <c r="G14" s="97"/>
      <c r="H14" s="159" t="s">
        <v>162</v>
      </c>
      <c r="I14" s="160">
        <f>I$8*C42</f>
        <v>670</v>
      </c>
      <c r="J14" s="97"/>
      <c r="K14" s="187" t="s">
        <v>164</v>
      </c>
      <c r="L14" s="221">
        <f>E$35</f>
        <v>30</v>
      </c>
      <c r="N14" s="134" t="s">
        <v>105</v>
      </c>
      <c r="O14" s="136">
        <v>4.0</v>
      </c>
      <c r="P14" s="139">
        <f>($L$15*12)-P35</f>
        <v>13157.96518</v>
      </c>
      <c r="R14" s="193" t="s">
        <v>165</v>
      </c>
      <c r="T14" s="218"/>
      <c r="U14" s="195">
        <f t="shared" si="2"/>
        <v>384</v>
      </c>
      <c r="V14" s="198">
        <f t="shared" si="3"/>
        <v>384</v>
      </c>
      <c r="Y14" s="180">
        <v>6.0</v>
      </c>
      <c r="Z14" s="182">
        <f t="shared" si="1"/>
        <v>15914.9965</v>
      </c>
    </row>
    <row r="15" ht="15.75" customHeight="1">
      <c r="A15" s="97"/>
      <c r="B15" s="149">
        <v>7.0</v>
      </c>
      <c r="C15" s="183"/>
      <c r="D15" s="153"/>
      <c r="E15" s="184"/>
      <c r="F15" s="294"/>
      <c r="G15" s="97"/>
      <c r="H15" s="225" t="s">
        <v>167</v>
      </c>
      <c r="I15" s="227">
        <f>SUM(I9:I14)</f>
        <v>2989.5</v>
      </c>
      <c r="J15" s="97"/>
      <c r="K15" s="225" t="s">
        <v>169</v>
      </c>
      <c r="L15" s="227">
        <f>-pmt(L13/12,L14*12, L12)</f>
        <v>10380.33203</v>
      </c>
      <c r="N15" s="166" t="s">
        <v>122</v>
      </c>
      <c r="O15" s="167">
        <v>4.0</v>
      </c>
      <c r="P15" s="168">
        <f>((P14)/$L$10)</f>
        <v>0.08771976789</v>
      </c>
      <c r="R15" s="234" t="s">
        <v>173</v>
      </c>
      <c r="S15" s="235"/>
      <c r="T15" s="351">
        <v>0.2</v>
      </c>
      <c r="U15" s="238">
        <f>U9*T15</f>
        <v>32160</v>
      </c>
      <c r="V15" s="239">
        <f>(I12+I14)*12</f>
        <v>26040</v>
      </c>
      <c r="Y15" s="180">
        <v>7.0</v>
      </c>
      <c r="Z15" s="182">
        <f t="shared" si="1"/>
        <v>16472.02137</v>
      </c>
    </row>
    <row r="16" ht="15.75" customHeight="1">
      <c r="A16" s="97"/>
      <c r="B16" s="149">
        <v>8.0</v>
      </c>
      <c r="C16" s="183"/>
      <c r="D16" s="153"/>
      <c r="E16" s="184"/>
      <c r="F16" s="294"/>
      <c r="G16" s="97"/>
      <c r="H16" s="240" t="s">
        <v>178</v>
      </c>
      <c r="I16" s="241">
        <f>I8-SUM(I9:I14)</f>
        <v>10410.5</v>
      </c>
      <c r="J16" s="97"/>
      <c r="K16" s="240" t="s">
        <v>181</v>
      </c>
      <c r="L16" s="241">
        <f>I16-L15</f>
        <v>30.16797161</v>
      </c>
      <c r="N16" s="134" t="s">
        <v>105</v>
      </c>
      <c r="O16" s="136">
        <v>5.0</v>
      </c>
      <c r="P16" s="139">
        <f>($L$15*12)-P38</f>
        <v>14321.00965</v>
      </c>
      <c r="R16" s="245" t="s">
        <v>184</v>
      </c>
      <c r="T16" s="246"/>
      <c r="U16" s="248">
        <f t="shared" ref="U16:V16" si="4">SUM(U10:U14,U15)</f>
        <v>75762</v>
      </c>
      <c r="V16" s="250">
        <f t="shared" si="4"/>
        <v>40698</v>
      </c>
      <c r="Y16" s="180">
        <v>8.0</v>
      </c>
      <c r="Z16" s="182">
        <f t="shared" si="1"/>
        <v>17048.54212</v>
      </c>
    </row>
    <row r="17" ht="15.75" customHeight="1">
      <c r="A17" s="97"/>
      <c r="B17" s="149">
        <v>9.0</v>
      </c>
      <c r="C17" s="183"/>
      <c r="D17" s="153"/>
      <c r="E17" s="184"/>
      <c r="F17" s="294"/>
      <c r="G17" s="97"/>
      <c r="H17" s="240" t="s">
        <v>189</v>
      </c>
      <c r="I17" s="241">
        <f>I16*12</f>
        <v>124926</v>
      </c>
      <c r="J17" s="97"/>
      <c r="K17" s="240" t="s">
        <v>190</v>
      </c>
      <c r="L17" s="241">
        <f>L16*12</f>
        <v>362.0156593</v>
      </c>
      <c r="N17" s="166" t="s">
        <v>122</v>
      </c>
      <c r="O17" s="167">
        <v>5.0</v>
      </c>
      <c r="P17" s="168">
        <f>((P16)/$L$10)</f>
        <v>0.09547339764</v>
      </c>
      <c r="R17" s="245" t="s">
        <v>191</v>
      </c>
      <c r="T17" s="246"/>
      <c r="U17" s="255">
        <f t="shared" ref="U17:V17" si="5">U9-U16</f>
        <v>85038</v>
      </c>
      <c r="V17" s="256">
        <f t="shared" si="5"/>
        <v>120102</v>
      </c>
      <c r="Y17" s="180">
        <v>9.0</v>
      </c>
      <c r="Z17" s="182">
        <f t="shared" si="1"/>
        <v>17645.2411</v>
      </c>
    </row>
    <row r="18" ht="18.0" customHeight="1">
      <c r="A18" s="97"/>
      <c r="B18" s="149">
        <v>10.0</v>
      </c>
      <c r="C18" s="365"/>
      <c r="D18" s="366"/>
      <c r="E18" s="184"/>
      <c r="F18" s="368"/>
      <c r="G18" s="97"/>
      <c r="H18" s="166" t="s">
        <v>192</v>
      </c>
      <c r="I18" s="259">
        <f>I17/L8</f>
        <v>0.083284</v>
      </c>
      <c r="J18" s="97"/>
      <c r="K18" s="260" t="s">
        <v>194</v>
      </c>
      <c r="L18" s="262">
        <f>L17/(L10+L11)</f>
        <v>0.001856490561</v>
      </c>
      <c r="N18" s="97"/>
      <c r="O18" s="97"/>
      <c r="P18" s="97"/>
      <c r="R18" s="263" t="s">
        <v>195</v>
      </c>
      <c r="S18" s="235"/>
      <c r="T18" s="265"/>
      <c r="U18" s="267">
        <f>L15*12</f>
        <v>124563.9843</v>
      </c>
      <c r="V18" s="270">
        <f>U18</f>
        <v>124563.9843</v>
      </c>
      <c r="Y18" s="180">
        <v>10.0</v>
      </c>
      <c r="Z18" s="182">
        <f t="shared" si="1"/>
        <v>18262.82453</v>
      </c>
    </row>
    <row r="19" ht="16.5" customHeight="1">
      <c r="A19" s="97"/>
      <c r="B19" s="149">
        <v>11.0</v>
      </c>
      <c r="C19" s="365"/>
      <c r="D19" s="366"/>
      <c r="E19" s="184"/>
      <c r="F19" s="368"/>
      <c r="G19" s="97"/>
      <c r="H19" s="97"/>
      <c r="I19" s="97"/>
      <c r="J19" s="97"/>
      <c r="K19" s="98"/>
      <c r="L19" s="98"/>
      <c r="R19" s="97"/>
      <c r="S19" s="97"/>
      <c r="T19" s="97"/>
      <c r="U19" s="97"/>
      <c r="V19" s="97"/>
      <c r="Y19" s="180">
        <v>11.0</v>
      </c>
      <c r="Z19" s="182">
        <f t="shared" si="1"/>
        <v>18902.02339</v>
      </c>
    </row>
    <row r="20" ht="15.75" customHeight="1">
      <c r="A20" s="97"/>
      <c r="B20" s="149">
        <v>12.0</v>
      </c>
      <c r="C20" s="365"/>
      <c r="D20" s="366"/>
      <c r="E20" s="184"/>
      <c r="F20" s="368"/>
      <c r="G20" s="97"/>
      <c r="H20" s="98" t="s">
        <v>197</v>
      </c>
      <c r="N20" s="101" t="s">
        <v>198</v>
      </c>
      <c r="R20" s="273" t="s">
        <v>199</v>
      </c>
      <c r="S20" s="19"/>
      <c r="T20" s="274"/>
      <c r="U20" s="278">
        <f t="shared" ref="U20:V20" si="6">U17/U18</f>
        <v>0.6826852918</v>
      </c>
      <c r="V20" s="279">
        <f t="shared" si="6"/>
        <v>0.9641791778</v>
      </c>
      <c r="Y20" s="180">
        <v>12.0</v>
      </c>
      <c r="Z20" s="182">
        <f t="shared" si="1"/>
        <v>19563.59421</v>
      </c>
    </row>
    <row r="21" ht="15.75" customHeight="1">
      <c r="A21" s="97"/>
      <c r="B21" s="149">
        <v>13.0</v>
      </c>
      <c r="C21" s="365"/>
      <c r="D21" s="366"/>
      <c r="E21" s="184"/>
      <c r="F21" s="368"/>
      <c r="G21" s="97"/>
      <c r="H21" s="281" t="s">
        <v>203</v>
      </c>
      <c r="N21" s="106" t="s">
        <v>204</v>
      </c>
      <c r="O21" s="15"/>
      <c r="P21" s="391">
        <v>0.8</v>
      </c>
      <c r="R21" s="283" t="s">
        <v>205</v>
      </c>
      <c r="S21" s="235"/>
      <c r="T21" s="284"/>
      <c r="U21" s="286">
        <f t="shared" ref="U21:V21" si="7">U17-U18</f>
        <v>-39525.98434</v>
      </c>
      <c r="V21" s="287">
        <f t="shared" si="7"/>
        <v>-4461.984341</v>
      </c>
      <c r="Y21" s="180">
        <v>13.0</v>
      </c>
      <c r="Z21" s="182">
        <f t="shared" si="1"/>
        <v>20248.32001</v>
      </c>
    </row>
    <row r="22" ht="15.75" customHeight="1">
      <c r="A22" s="98"/>
      <c r="B22" s="149">
        <v>14.0</v>
      </c>
      <c r="C22" s="365"/>
      <c r="D22" s="366"/>
      <c r="E22" s="184"/>
      <c r="F22" s="368"/>
      <c r="G22" s="97"/>
      <c r="H22" s="106" t="s">
        <v>91</v>
      </c>
      <c r="I22" s="124" t="s">
        <v>92</v>
      </c>
      <c r="J22" s="97"/>
      <c r="K22" s="131" t="s">
        <v>94</v>
      </c>
      <c r="L22" s="289"/>
      <c r="N22" s="106" t="s">
        <v>206</v>
      </c>
      <c r="O22" s="292"/>
      <c r="P22" s="282">
        <v>0.33</v>
      </c>
      <c r="Y22" s="180">
        <v>14.0</v>
      </c>
      <c r="Z22" s="182">
        <f t="shared" si="1"/>
        <v>20957.01121</v>
      </c>
    </row>
    <row r="23" ht="15.75" customHeight="1">
      <c r="A23" s="97"/>
      <c r="B23" s="149">
        <v>15.0</v>
      </c>
      <c r="C23" s="365"/>
      <c r="D23" s="366"/>
      <c r="E23" s="184"/>
      <c r="F23" s="368"/>
      <c r="G23" s="97"/>
      <c r="H23" s="131" t="s">
        <v>102</v>
      </c>
      <c r="I23" s="133">
        <f>F29</f>
        <v>13400</v>
      </c>
      <c r="J23" s="97"/>
      <c r="K23" s="134" t="s">
        <v>78</v>
      </c>
      <c r="L23" s="135">
        <f>C5</f>
        <v>1500000</v>
      </c>
      <c r="R23" s="104" t="s">
        <v>207</v>
      </c>
      <c r="Y23" s="180">
        <v>15.0</v>
      </c>
      <c r="Z23" s="182">
        <f t="shared" si="1"/>
        <v>21690.5066</v>
      </c>
    </row>
    <row r="24" ht="15.75" customHeight="1">
      <c r="A24" s="97"/>
      <c r="B24" s="149"/>
      <c r="C24" s="365"/>
      <c r="D24" s="366"/>
      <c r="E24" s="404"/>
      <c r="F24" s="368"/>
      <c r="G24" s="97"/>
      <c r="H24" s="159" t="s">
        <v>116</v>
      </c>
      <c r="I24" s="160">
        <f>C$40*I23</f>
        <v>0</v>
      </c>
      <c r="J24" s="97"/>
      <c r="K24" s="159" t="s">
        <v>118</v>
      </c>
      <c r="L24" s="164">
        <f>1-E$33</f>
        <v>0.9</v>
      </c>
      <c r="N24" s="98"/>
      <c r="O24" s="98" t="s">
        <v>95</v>
      </c>
      <c r="P24" s="98" t="s">
        <v>96</v>
      </c>
      <c r="R24" s="146" t="s">
        <v>208</v>
      </c>
      <c r="S24" s="409">
        <v>0.035</v>
      </c>
      <c r="X24" s="178"/>
      <c r="Y24" s="180">
        <v>16.0</v>
      </c>
      <c r="Z24" s="182">
        <f t="shared" si="1"/>
        <v>22449.67433</v>
      </c>
      <c r="AA24" s="178"/>
      <c r="AB24" s="178"/>
      <c r="AC24" s="178"/>
      <c r="AD24" s="178"/>
    </row>
    <row r="25" ht="15.75" customHeight="1">
      <c r="A25" s="97"/>
      <c r="B25" s="149"/>
      <c r="C25" s="365"/>
      <c r="D25" s="366"/>
      <c r="E25" s="404"/>
      <c r="F25" s="368"/>
      <c r="G25" s="97"/>
      <c r="H25" s="159" t="s">
        <v>11</v>
      </c>
      <c r="I25" s="160">
        <f>C$33/12</f>
        <v>787.5</v>
      </c>
      <c r="J25" s="97"/>
      <c r="K25" s="187" t="s">
        <v>134</v>
      </c>
      <c r="L25" s="190">
        <f>E33*L23</f>
        <v>150000</v>
      </c>
      <c r="N25" s="134" t="s">
        <v>209</v>
      </c>
      <c r="O25" s="300">
        <v>1.0</v>
      </c>
      <c r="P25" s="301">
        <f>(P21*$L$8)/27.5</f>
        <v>43636.36364</v>
      </c>
      <c r="Y25" s="180">
        <v>17.0</v>
      </c>
      <c r="Z25" s="182">
        <f t="shared" si="1"/>
        <v>23235.41293</v>
      </c>
    </row>
    <row r="26" ht="15.75" customHeight="1">
      <c r="A26" s="97"/>
      <c r="B26" s="149"/>
      <c r="C26" s="365"/>
      <c r="D26" s="366"/>
      <c r="E26" s="404"/>
      <c r="F26" s="368"/>
      <c r="G26" s="97"/>
      <c r="H26" s="159" t="s">
        <v>141</v>
      </c>
      <c r="I26" s="160">
        <f>C$34</f>
        <v>32</v>
      </c>
      <c r="J26" s="97"/>
      <c r="K26" s="187" t="s">
        <v>143</v>
      </c>
      <c r="L26" s="190">
        <f>E$36</f>
        <v>45000</v>
      </c>
      <c r="N26" s="159" t="s">
        <v>210</v>
      </c>
      <c r="O26" s="97">
        <v>1.0</v>
      </c>
      <c r="P26" s="303">
        <f>-CUMIPMT($L$13/12,$L$14*12,$L$12,(1+(12*(O26-1))),(12*O26),0)</f>
        <v>114358.4906</v>
      </c>
      <c r="R26" s="304" t="s">
        <v>113</v>
      </c>
      <c r="S26" s="306" t="s">
        <v>211</v>
      </c>
      <c r="T26" s="306" t="s">
        <v>212</v>
      </c>
      <c r="U26" s="307" t="s">
        <v>213</v>
      </c>
      <c r="Y26" s="180">
        <v>18.0</v>
      </c>
      <c r="Z26" s="182">
        <f t="shared" si="1"/>
        <v>24048.65239</v>
      </c>
    </row>
    <row r="27" ht="15.75" customHeight="1">
      <c r="A27" s="97"/>
      <c r="B27" s="149"/>
      <c r="C27" s="427"/>
      <c r="D27" s="366"/>
      <c r="E27" s="404"/>
      <c r="F27" s="368"/>
      <c r="G27" s="97"/>
      <c r="H27" s="159" t="s">
        <v>150</v>
      </c>
      <c r="I27" s="210">
        <f>SUM(C$35:C$39)</f>
        <v>1500</v>
      </c>
      <c r="J27" s="97"/>
      <c r="K27" s="187" t="s">
        <v>151</v>
      </c>
      <c r="L27" s="190">
        <f>L23*L24</f>
        <v>1350000</v>
      </c>
      <c r="N27" s="166" t="s">
        <v>214</v>
      </c>
      <c r="O27" s="167">
        <v>1.0</v>
      </c>
      <c r="P27" s="310">
        <f>SUM($P$25+$P26)</f>
        <v>157994.8543</v>
      </c>
      <c r="R27" s="311">
        <v>1.0</v>
      </c>
      <c r="S27" s="312">
        <f>L8+(L8*$S$24)</f>
        <v>1552500</v>
      </c>
      <c r="T27" s="313">
        <f>S27-L8</f>
        <v>52500</v>
      </c>
      <c r="U27" s="314">
        <f t="shared" ref="U27:U31" si="8">T27/$L$10</f>
        <v>0.35</v>
      </c>
      <c r="Y27" s="180">
        <v>19.0</v>
      </c>
      <c r="Z27" s="182">
        <f t="shared" si="1"/>
        <v>24890.35522</v>
      </c>
    </row>
    <row r="28" ht="15.75" customHeight="1">
      <c r="A28" s="97"/>
      <c r="B28" s="149"/>
      <c r="C28" s="429"/>
      <c r="D28" s="430"/>
      <c r="E28" s="431"/>
      <c r="F28" s="432"/>
      <c r="G28" s="97"/>
      <c r="H28" s="159" t="s">
        <v>154</v>
      </c>
      <c r="I28" s="160">
        <f>C$41*I23</f>
        <v>0</v>
      </c>
      <c r="J28" s="97"/>
      <c r="K28" s="187" t="s">
        <v>155</v>
      </c>
      <c r="L28" s="215">
        <f>E$34</f>
        <v>0.085</v>
      </c>
      <c r="N28" s="134" t="s">
        <v>209</v>
      </c>
      <c r="O28" s="97">
        <v>2.0</v>
      </c>
      <c r="P28" s="301">
        <f>(P21*$L$8)/27.5</f>
        <v>43636.36364</v>
      </c>
      <c r="R28" s="319">
        <v>2.0</v>
      </c>
      <c r="S28" s="320">
        <f t="shared" ref="S28:S31" si="10">S27+(S27*$S$24)</f>
        <v>1606837.5</v>
      </c>
      <c r="T28" s="321">
        <f t="shared" ref="T28:T31" si="11">S28-S27</f>
        <v>54337.5</v>
      </c>
      <c r="U28" s="322">
        <f t="shared" si="8"/>
        <v>0.36225</v>
      </c>
      <c r="Y28" s="323">
        <v>20.0</v>
      </c>
      <c r="Z28" s="324">
        <f t="shared" si="1"/>
        <v>25761.51765</v>
      </c>
    </row>
    <row r="29" ht="15.75" customHeight="1">
      <c r="A29" s="97"/>
      <c r="B29" s="325" t="s">
        <v>215</v>
      </c>
      <c r="C29" s="326"/>
      <c r="D29" s="327"/>
      <c r="E29" s="328">
        <f t="shared" ref="E29:F29" si="9">SUM(E9:E28)</f>
        <v>13400</v>
      </c>
      <c r="F29" s="329">
        <f t="shared" si="9"/>
        <v>13400</v>
      </c>
      <c r="G29" s="97"/>
      <c r="H29" s="159" t="s">
        <v>162</v>
      </c>
      <c r="I29" s="160">
        <f>C42*I23</f>
        <v>670</v>
      </c>
      <c r="J29" s="97"/>
      <c r="K29" s="187" t="s">
        <v>164</v>
      </c>
      <c r="L29" s="221">
        <f>E$35</f>
        <v>30</v>
      </c>
      <c r="N29" s="159" t="s">
        <v>210</v>
      </c>
      <c r="O29" s="97">
        <v>2.0</v>
      </c>
      <c r="P29" s="303">
        <f>-CUMIPMT($L$13/12,$L$14*12,$L$12,(1+(12*(O29-1))),(12*O29),0)</f>
        <v>113456.4178</v>
      </c>
      <c r="R29" s="319">
        <v>3.0</v>
      </c>
      <c r="S29" s="320">
        <f t="shared" si="10"/>
        <v>1663076.813</v>
      </c>
      <c r="T29" s="321">
        <f t="shared" si="11"/>
        <v>56239.3125</v>
      </c>
      <c r="U29" s="322">
        <f t="shared" si="8"/>
        <v>0.37492875</v>
      </c>
      <c r="Y29" s="178"/>
    </row>
    <row r="30" ht="15.75" customHeight="1">
      <c r="A30" s="97"/>
      <c r="G30" s="97"/>
      <c r="H30" s="225" t="s">
        <v>167</v>
      </c>
      <c r="I30" s="227">
        <f>SUM(I24:I29)</f>
        <v>2989.5</v>
      </c>
      <c r="J30" s="97"/>
      <c r="K30" s="225" t="s">
        <v>216</v>
      </c>
      <c r="L30" s="227">
        <f>-pmt(L28/12,L29*12, L27)</f>
        <v>10380.33203</v>
      </c>
      <c r="N30" s="240" t="s">
        <v>214</v>
      </c>
      <c r="O30" s="332">
        <v>2.0</v>
      </c>
      <c r="P30" s="333">
        <f>SUM($P$25+$P29)</f>
        <v>157092.7814</v>
      </c>
      <c r="R30" s="319">
        <v>4.0</v>
      </c>
      <c r="S30" s="320">
        <f t="shared" si="10"/>
        <v>1721284.501</v>
      </c>
      <c r="T30" s="321">
        <f t="shared" si="11"/>
        <v>58207.68844</v>
      </c>
      <c r="U30" s="322">
        <f t="shared" si="8"/>
        <v>0.3880512563</v>
      </c>
    </row>
    <row r="31" ht="15.75" customHeight="1">
      <c r="A31" s="97"/>
      <c r="B31" s="104" t="s">
        <v>217</v>
      </c>
      <c r="D31" s="104" t="s">
        <v>195</v>
      </c>
      <c r="G31" s="97"/>
      <c r="H31" s="240" t="s">
        <v>178</v>
      </c>
      <c r="I31" s="241">
        <f>I23-I30</f>
        <v>10410.5</v>
      </c>
      <c r="J31" s="97"/>
      <c r="K31" s="240" t="s">
        <v>181</v>
      </c>
      <c r="L31" s="334">
        <f>I31-L30</f>
        <v>30.16797161</v>
      </c>
      <c r="N31" s="134" t="s">
        <v>209</v>
      </c>
      <c r="O31" s="300">
        <v>3.0</v>
      </c>
      <c r="P31" s="301">
        <f>(P21*$L$8)/27.5</f>
        <v>43636.36364</v>
      </c>
      <c r="R31" s="336">
        <v>5.0</v>
      </c>
      <c r="S31" s="337">
        <f t="shared" si="10"/>
        <v>1781529.458</v>
      </c>
      <c r="T31" s="338">
        <f t="shared" si="11"/>
        <v>60244.95753</v>
      </c>
      <c r="U31" s="339">
        <f t="shared" si="8"/>
        <v>0.4016330502</v>
      </c>
      <c r="W31" s="340"/>
    </row>
    <row r="32" ht="15.75" customHeight="1">
      <c r="A32" s="97"/>
      <c r="G32" s="97"/>
      <c r="H32" s="240" t="s">
        <v>189</v>
      </c>
      <c r="I32" s="241">
        <f>I31*12</f>
        <v>124926</v>
      </c>
      <c r="J32" s="97"/>
      <c r="K32" s="240" t="s">
        <v>190</v>
      </c>
      <c r="L32" s="241">
        <f>L31*12</f>
        <v>362.0156593</v>
      </c>
      <c r="N32" s="159" t="s">
        <v>210</v>
      </c>
      <c r="O32" s="97">
        <v>3.0</v>
      </c>
      <c r="P32" s="303">
        <f>-CUMIPMT($L$13/12,$L$14*12,$L$12,(1+(12*(O32-1))),(12*O32),0)</f>
        <v>112474.6099</v>
      </c>
    </row>
    <row r="33" ht="15.75" customHeight="1">
      <c r="A33" s="97"/>
      <c r="B33" s="341" t="s">
        <v>218</v>
      </c>
      <c r="C33" s="436">
        <f>0.0063*F5</f>
        <v>9450</v>
      </c>
      <c r="D33" s="341" t="s">
        <v>219</v>
      </c>
      <c r="E33" s="437">
        <v>0.1</v>
      </c>
      <c r="F33" s="344"/>
      <c r="G33" s="97"/>
      <c r="H33" s="166" t="s">
        <v>192</v>
      </c>
      <c r="I33" s="259">
        <f>I32/L23</f>
        <v>0.083284</v>
      </c>
      <c r="J33" s="97"/>
      <c r="K33" s="260" t="s">
        <v>194</v>
      </c>
      <c r="L33" s="262">
        <f>L32/(L25+L26)</f>
        <v>0.001856490561</v>
      </c>
      <c r="N33" s="166" t="s">
        <v>214</v>
      </c>
      <c r="O33" s="167">
        <v>3.0</v>
      </c>
      <c r="P33" s="310">
        <f>SUM($P$25+$P32)</f>
        <v>156110.9736</v>
      </c>
      <c r="R33" s="104" t="s">
        <v>221</v>
      </c>
    </row>
    <row r="34" ht="15.75" customHeight="1">
      <c r="A34" s="97"/>
      <c r="B34" s="345" t="s">
        <v>222</v>
      </c>
      <c r="C34" s="346">
        <v>32.0</v>
      </c>
      <c r="D34" s="345" t="s">
        <v>223</v>
      </c>
      <c r="E34" s="347">
        <v>0.085</v>
      </c>
      <c r="G34" s="97"/>
      <c r="H34" s="97"/>
      <c r="I34" s="97"/>
      <c r="J34" s="97"/>
      <c r="K34" s="97"/>
      <c r="L34" s="97"/>
      <c r="N34" s="134" t="s">
        <v>209</v>
      </c>
      <c r="O34" s="97">
        <v>4.0</v>
      </c>
      <c r="P34" s="301">
        <f>(P21*$L$8)/27.5</f>
        <v>43636.36364</v>
      </c>
      <c r="R34" s="147" t="s">
        <v>95</v>
      </c>
      <c r="S34" s="348">
        <v>1.0</v>
      </c>
      <c r="T34" s="147">
        <v>2.0</v>
      </c>
      <c r="U34" s="348">
        <v>3.0</v>
      </c>
      <c r="V34" s="147">
        <v>4.0</v>
      </c>
      <c r="W34" s="349">
        <v>5.0</v>
      </c>
    </row>
    <row r="35" ht="15.75" customHeight="1">
      <c r="A35" s="97"/>
      <c r="B35" s="345" t="s">
        <v>224</v>
      </c>
      <c r="C35" s="346">
        <v>500.0</v>
      </c>
      <c r="D35" s="345" t="s">
        <v>225</v>
      </c>
      <c r="E35" s="350">
        <v>30.0</v>
      </c>
      <c r="G35" s="97"/>
      <c r="H35" s="98"/>
      <c r="N35" s="159" t="s">
        <v>210</v>
      </c>
      <c r="O35" s="97">
        <v>4.0</v>
      </c>
      <c r="P35" s="303">
        <f>-CUMIPMT($L$13/12,$L$14*12,$L$12,(1+(12*(O35-1))),(12*O35),0)</f>
        <v>111406.0192</v>
      </c>
      <c r="R35" s="147" t="s">
        <v>226</v>
      </c>
      <c r="S35" s="352"/>
      <c r="T35" s="353"/>
      <c r="U35" s="353"/>
      <c r="V35" s="353"/>
      <c r="W35" s="354"/>
    </row>
    <row r="36" ht="15.75" customHeight="1">
      <c r="A36" s="97"/>
      <c r="B36" s="345" t="s">
        <v>227</v>
      </c>
      <c r="C36" s="346">
        <v>200.0</v>
      </c>
      <c r="D36" s="355" t="s">
        <v>143</v>
      </c>
      <c r="E36" s="356">
        <f>0.03*C5</f>
        <v>45000</v>
      </c>
      <c r="F36" s="357" t="s">
        <v>339</v>
      </c>
      <c r="I36" s="97"/>
      <c r="J36" s="97"/>
      <c r="K36" s="97"/>
      <c r="L36" s="97"/>
      <c r="N36" s="240" t="s">
        <v>214</v>
      </c>
      <c r="O36" s="332">
        <v>4.0</v>
      </c>
      <c r="P36" s="333">
        <f>SUM($P$25+$P35)</f>
        <v>155042.3828</v>
      </c>
      <c r="R36" s="358" t="s">
        <v>229</v>
      </c>
      <c r="S36" s="359">
        <f t="shared" ref="S36:W36" si="12">$L$33</f>
        <v>0.001856490561</v>
      </c>
      <c r="T36" s="360">
        <f t="shared" si="12"/>
        <v>0.001856490561</v>
      </c>
      <c r="U36" s="361">
        <f t="shared" si="12"/>
        <v>0.001856490561</v>
      </c>
      <c r="V36" s="360">
        <f t="shared" si="12"/>
        <v>0.001856490561</v>
      </c>
      <c r="W36" s="362">
        <f t="shared" si="12"/>
        <v>0.001856490561</v>
      </c>
    </row>
    <row r="37" ht="15.75" customHeight="1">
      <c r="A37" s="97"/>
      <c r="B37" s="345" t="s">
        <v>230</v>
      </c>
      <c r="C37" s="346">
        <v>200.0</v>
      </c>
      <c r="G37" s="97"/>
      <c r="H37" s="98"/>
      <c r="I37" s="98"/>
      <c r="J37" s="97"/>
      <c r="K37" s="98"/>
      <c r="L37" s="97"/>
      <c r="N37" s="134" t="s">
        <v>209</v>
      </c>
      <c r="O37" s="300">
        <v>5.0</v>
      </c>
      <c r="P37" s="301">
        <f>(P21*$L$8)/27.5</f>
        <v>43636.36364</v>
      </c>
      <c r="R37" s="358" t="s">
        <v>231</v>
      </c>
      <c r="S37" s="363">
        <f>P9</f>
        <v>0.06803662481</v>
      </c>
      <c r="T37" s="364">
        <f>P11</f>
        <v>0.07405044371</v>
      </c>
      <c r="U37" s="367">
        <f>P13</f>
        <v>0.08059582951</v>
      </c>
      <c r="V37" s="364">
        <f>P15</f>
        <v>0.08771976789</v>
      </c>
      <c r="W37" s="369">
        <f>P17</f>
        <v>0.09547339764</v>
      </c>
    </row>
    <row r="38" ht="15.75" customHeight="1">
      <c r="A38" s="97"/>
      <c r="B38" s="345" t="s">
        <v>232</v>
      </c>
      <c r="C38" s="346">
        <v>300.0</v>
      </c>
      <c r="G38" s="97"/>
      <c r="H38" s="98"/>
      <c r="I38" s="370"/>
      <c r="J38" s="97"/>
      <c r="K38" s="97"/>
      <c r="L38" s="371"/>
      <c r="N38" s="159" t="s">
        <v>210</v>
      </c>
      <c r="O38" s="97">
        <v>5.0</v>
      </c>
      <c r="P38" s="303">
        <f>-CUMIPMT($L$13/12,$L$14*12,$L$12,(1+(12*(O38-1))),(12*O38),0)</f>
        <v>110242.9747</v>
      </c>
      <c r="R38" s="358" t="s">
        <v>234</v>
      </c>
      <c r="S38" s="378">
        <f>(P27*P22)/L10</f>
        <v>0.3475886794</v>
      </c>
      <c r="T38" s="381">
        <f>(P30*P22)/L10</f>
        <v>0.3456041191</v>
      </c>
      <c r="U38" s="383">
        <f>(P33*P22)/L10</f>
        <v>0.3434441418</v>
      </c>
      <c r="V38" s="381">
        <f>(P36*P22)/L10</f>
        <v>0.3410932421</v>
      </c>
      <c r="W38" s="385">
        <f>(P39*P22)/L10</f>
        <v>0.3385345443</v>
      </c>
    </row>
    <row r="39" ht="15.75" customHeight="1">
      <c r="A39" s="97"/>
      <c r="B39" s="345" t="s">
        <v>238</v>
      </c>
      <c r="C39" s="346">
        <v>300.0</v>
      </c>
      <c r="G39" s="97"/>
      <c r="H39" s="97"/>
      <c r="I39" s="371"/>
      <c r="J39" s="97"/>
      <c r="K39" s="97"/>
      <c r="L39" s="387"/>
      <c r="N39" s="166" t="s">
        <v>214</v>
      </c>
      <c r="O39" s="167">
        <v>5.0</v>
      </c>
      <c r="P39" s="310">
        <f>SUM($P$25+$P38)</f>
        <v>153879.3383</v>
      </c>
      <c r="R39" s="388" t="s">
        <v>239</v>
      </c>
      <c r="S39" s="363">
        <f>U27</f>
        <v>0.35</v>
      </c>
      <c r="T39" s="364">
        <f>U28</f>
        <v>0.36225</v>
      </c>
      <c r="U39" s="367">
        <f>U29</f>
        <v>0.37492875</v>
      </c>
      <c r="V39" s="364">
        <f>U30</f>
        <v>0.3880512563</v>
      </c>
      <c r="W39" s="369">
        <f>U31</f>
        <v>0.4016330502</v>
      </c>
    </row>
    <row r="40" ht="15.75" customHeight="1">
      <c r="A40" s="97"/>
      <c r="B40" s="345" t="s">
        <v>240</v>
      </c>
      <c r="C40" s="347">
        <v>0.0</v>
      </c>
      <c r="G40" s="97"/>
      <c r="N40" s="396" t="s">
        <v>241</v>
      </c>
      <c r="O40" s="397"/>
      <c r="P40" s="398">
        <f>(AVERAGE(P27,P30,P33,P36,P39))*P22</f>
        <v>51487.9418</v>
      </c>
      <c r="R40" s="399" t="s">
        <v>242</v>
      </c>
      <c r="S40" s="400">
        <f t="shared" ref="S40:W40" si="13">SUM(S36:S39)</f>
        <v>0.7674817947</v>
      </c>
      <c r="T40" s="401">
        <f t="shared" si="13"/>
        <v>0.7837610534</v>
      </c>
      <c r="U40" s="402">
        <f t="shared" si="13"/>
        <v>0.8008252119</v>
      </c>
      <c r="V40" s="401">
        <f t="shared" si="13"/>
        <v>0.8187207568</v>
      </c>
      <c r="W40" s="403">
        <f t="shared" si="13"/>
        <v>0.8374974827</v>
      </c>
    </row>
    <row r="41" ht="15.75" customHeight="1">
      <c r="A41" s="97"/>
      <c r="B41" s="345" t="s">
        <v>249</v>
      </c>
      <c r="C41" s="347">
        <v>0.0</v>
      </c>
      <c r="G41" s="97"/>
      <c r="N41" s="283" t="s">
        <v>251</v>
      </c>
      <c r="O41" s="235"/>
      <c r="P41" s="405">
        <f>P40/L10</f>
        <v>0.3432529454</v>
      </c>
      <c r="R41" s="399" t="s">
        <v>252</v>
      </c>
      <c r="S41" s="408">
        <f t="shared" ref="S41:W41" si="14">S40*$L$10</f>
        <v>115122.2692</v>
      </c>
      <c r="T41" s="410">
        <f t="shared" si="14"/>
        <v>117564.158</v>
      </c>
      <c r="U41" s="408">
        <f t="shared" si="14"/>
        <v>120123.7818</v>
      </c>
      <c r="V41" s="410">
        <f t="shared" si="14"/>
        <v>122808.1135</v>
      </c>
      <c r="W41" s="412">
        <f t="shared" si="14"/>
        <v>125624.6224</v>
      </c>
    </row>
    <row r="42" ht="15.75" customHeight="1">
      <c r="A42" s="97"/>
      <c r="B42" s="355" t="s">
        <v>260</v>
      </c>
      <c r="C42" s="413">
        <v>0.05</v>
      </c>
      <c r="G42" s="97"/>
      <c r="H42" s="97"/>
      <c r="I42" s="371"/>
      <c r="J42" s="97"/>
      <c r="K42" s="414"/>
      <c r="L42" s="416"/>
    </row>
    <row r="43" ht="15.75" customHeight="1">
      <c r="A43" s="97"/>
      <c r="C43" s="22"/>
      <c r="G43" s="97"/>
      <c r="H43" s="97"/>
      <c r="I43" s="371"/>
      <c r="J43" s="97"/>
      <c r="K43" s="414"/>
      <c r="L43" s="416"/>
    </row>
    <row r="44" ht="15.75" customHeight="1">
      <c r="A44" s="97"/>
      <c r="G44" s="97"/>
      <c r="H44" s="97"/>
      <c r="I44" s="371"/>
      <c r="J44" s="97"/>
      <c r="K44" s="414"/>
      <c r="L44" s="416"/>
    </row>
    <row r="45" ht="15.75" customHeight="1">
      <c r="A45" s="97"/>
      <c r="G45" s="97"/>
      <c r="H45" s="97"/>
      <c r="I45" s="371"/>
      <c r="J45" s="97"/>
      <c r="K45" s="414"/>
      <c r="L45" s="417"/>
    </row>
    <row r="46" ht="15.75" customHeight="1">
      <c r="A46" s="97"/>
      <c r="G46" s="97"/>
      <c r="H46" s="97"/>
      <c r="I46" s="371"/>
      <c r="J46" s="97"/>
      <c r="K46" s="414"/>
      <c r="L46" s="417"/>
    </row>
    <row r="47" ht="15.75" customHeight="1">
      <c r="A47" s="97"/>
      <c r="G47" s="97"/>
      <c r="H47" s="97"/>
      <c r="I47" s="97"/>
      <c r="J47" s="97"/>
      <c r="K47" s="418"/>
      <c r="L47" s="419"/>
    </row>
    <row r="48" ht="15.75" customHeight="1">
      <c r="A48" s="97"/>
      <c r="G48" s="97"/>
      <c r="H48" s="98"/>
      <c r="I48" s="370"/>
      <c r="J48" s="97"/>
      <c r="K48" s="98"/>
      <c r="L48" s="420"/>
    </row>
    <row r="49" ht="15.75" customHeight="1">
      <c r="A49" s="97"/>
      <c r="E49" s="97"/>
      <c r="F49" s="97"/>
      <c r="G49" s="97"/>
      <c r="H49" s="98"/>
      <c r="I49" s="370"/>
      <c r="J49" s="97"/>
      <c r="K49" s="98"/>
      <c r="L49" s="370"/>
    </row>
    <row r="50" ht="15.75" customHeight="1">
      <c r="A50" s="97"/>
      <c r="E50" s="97"/>
      <c r="F50" s="97"/>
      <c r="G50" s="97"/>
      <c r="H50" s="98"/>
      <c r="I50" s="422"/>
      <c r="J50" s="97"/>
      <c r="K50" s="423"/>
      <c r="L50" s="425"/>
    </row>
    <row r="51" ht="15.75" customHeight="1">
      <c r="A51" s="97"/>
      <c r="E51" s="97"/>
      <c r="F51" s="97"/>
      <c r="G51" s="97"/>
    </row>
    <row r="52" ht="15.75" customHeight="1">
      <c r="B52" s="97"/>
      <c r="C52" s="97"/>
      <c r="D52" s="97"/>
      <c r="E52" s="97"/>
      <c r="F52" s="97"/>
    </row>
    <row r="53" ht="15.75" customHeight="1">
      <c r="B53" s="97"/>
      <c r="C53" s="97"/>
      <c r="D53" s="97"/>
      <c r="E53" s="97"/>
      <c r="F53" s="97"/>
    </row>
    <row r="54" ht="15.75" customHeight="1">
      <c r="B54" s="97"/>
      <c r="C54" s="97"/>
      <c r="D54" s="97"/>
      <c r="E54" s="97"/>
      <c r="F54" s="97"/>
    </row>
    <row r="55" ht="15.75" customHeight="1">
      <c r="B55" s="97"/>
      <c r="C55" s="97"/>
      <c r="D55" s="97"/>
      <c r="E55" s="97"/>
      <c r="F55" s="97"/>
    </row>
    <row r="56" ht="15.75" customHeight="1">
      <c r="B56" s="97"/>
      <c r="C56" s="97"/>
      <c r="D56" s="97"/>
      <c r="E56" s="97"/>
      <c r="F56" s="97"/>
    </row>
    <row r="57" ht="15.75" customHeight="1">
      <c r="B57" s="97"/>
      <c r="C57" s="97"/>
      <c r="D57" s="97"/>
      <c r="E57" s="97"/>
      <c r="F57" s="97"/>
    </row>
    <row r="58" ht="15.75" customHeight="1">
      <c r="B58" s="97"/>
      <c r="C58" s="97"/>
      <c r="D58" s="97"/>
      <c r="E58" s="97"/>
      <c r="F58" s="97"/>
    </row>
    <row r="59" ht="15.75" customHeight="1">
      <c r="B59" s="97"/>
      <c r="C59" s="97"/>
      <c r="D59" s="97"/>
      <c r="E59" s="97"/>
      <c r="F59" s="97"/>
    </row>
    <row r="60" ht="15.75" customHeight="1">
      <c r="B60" s="97"/>
      <c r="C60" s="97"/>
      <c r="D60" s="97"/>
      <c r="E60" s="97"/>
      <c r="F60" s="9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2:I2"/>
    <mergeCell ref="Y4:Z4"/>
    <mergeCell ref="H5:L5"/>
    <mergeCell ref="N5:P5"/>
    <mergeCell ref="R5:T5"/>
    <mergeCell ref="R6:S6"/>
    <mergeCell ref="R8:S8"/>
    <mergeCell ref="R9:S9"/>
    <mergeCell ref="R10:S10"/>
    <mergeCell ref="R11:S11"/>
    <mergeCell ref="R12:S12"/>
    <mergeCell ref="R13:S13"/>
    <mergeCell ref="R14:S14"/>
    <mergeCell ref="R15:S15"/>
    <mergeCell ref="R20:S20"/>
    <mergeCell ref="R21:S21"/>
    <mergeCell ref="R23:T23"/>
    <mergeCell ref="R33:T33"/>
    <mergeCell ref="H35:L35"/>
    <mergeCell ref="F36:H36"/>
    <mergeCell ref="N41:O41"/>
    <mergeCell ref="R16:S16"/>
    <mergeCell ref="R17:S17"/>
    <mergeCell ref="R18:S18"/>
    <mergeCell ref="H20:L20"/>
    <mergeCell ref="N20:P20"/>
    <mergeCell ref="H21:L21"/>
    <mergeCell ref="N21:O21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35.0"/>
    <col customWidth="1" min="4" max="4" width="20.29"/>
    <col customWidth="1" min="5" max="5" width="50.86"/>
    <col customWidth="1" min="8" max="8" width="46.57"/>
  </cols>
  <sheetData>
    <row r="1">
      <c r="A1" s="11" t="s">
        <v>243</v>
      </c>
      <c r="B1" s="11" t="s">
        <v>244</v>
      </c>
      <c r="C1" s="11" t="s">
        <v>245</v>
      </c>
      <c r="D1" s="11" t="s">
        <v>246</v>
      </c>
      <c r="E1" s="344" t="s">
        <v>247</v>
      </c>
      <c r="F1" s="22"/>
      <c r="G1" s="22" t="s">
        <v>248</v>
      </c>
      <c r="H1" s="22" t="s">
        <v>250</v>
      </c>
    </row>
    <row r="2">
      <c r="A2" s="170" t="s">
        <v>253</v>
      </c>
      <c r="B2" s="406" t="s">
        <v>110</v>
      </c>
      <c r="C2" s="407">
        <v>2.0</v>
      </c>
      <c r="D2" s="170" t="s">
        <v>248</v>
      </c>
      <c r="E2" s="22" t="s">
        <v>254</v>
      </c>
      <c r="G2" s="22" t="s">
        <v>255</v>
      </c>
      <c r="H2" s="22" t="s">
        <v>256</v>
      </c>
    </row>
    <row r="3">
      <c r="A3" s="170" t="s">
        <v>253</v>
      </c>
      <c r="B3" s="170" t="s">
        <v>114</v>
      </c>
      <c r="C3" s="411">
        <v>45000.0</v>
      </c>
      <c r="D3" s="170" t="s">
        <v>248</v>
      </c>
      <c r="E3" s="22" t="s">
        <v>257</v>
      </c>
      <c r="G3" s="22" t="s">
        <v>258</v>
      </c>
      <c r="H3" s="22" t="s">
        <v>73</v>
      </c>
    </row>
    <row r="4">
      <c r="A4" s="170" t="s">
        <v>253</v>
      </c>
      <c r="B4" s="170" t="s">
        <v>120</v>
      </c>
      <c r="C4" s="411">
        <v>71000.0</v>
      </c>
      <c r="D4" s="170" t="s">
        <v>248</v>
      </c>
      <c r="E4" s="22" t="s">
        <v>259</v>
      </c>
      <c r="H4" s="22" t="s">
        <v>253</v>
      </c>
    </row>
    <row r="5">
      <c r="A5" s="170" t="s">
        <v>253</v>
      </c>
      <c r="B5" s="170" t="s">
        <v>126</v>
      </c>
      <c r="C5" s="411">
        <v>32000.0</v>
      </c>
      <c r="D5" s="170" t="s">
        <v>248</v>
      </c>
      <c r="E5" s="22" t="s">
        <v>261</v>
      </c>
      <c r="H5" s="22" t="s">
        <v>107</v>
      </c>
    </row>
    <row r="6">
      <c r="A6" s="170" t="s">
        <v>253</v>
      </c>
      <c r="B6" s="170" t="s">
        <v>130</v>
      </c>
      <c r="C6" s="411">
        <v>140000.0</v>
      </c>
      <c r="D6" s="170" t="s">
        <v>248</v>
      </c>
      <c r="E6" s="22" t="s">
        <v>262</v>
      </c>
      <c r="H6" s="415" t="s">
        <v>140</v>
      </c>
    </row>
    <row r="7">
      <c r="A7" s="170" t="s">
        <v>253</v>
      </c>
      <c r="B7" s="11" t="s">
        <v>133</v>
      </c>
      <c r="C7" s="23">
        <v>-103000.0</v>
      </c>
      <c r="D7" s="170" t="s">
        <v>255</v>
      </c>
      <c r="E7" s="22" t="s">
        <v>255</v>
      </c>
      <c r="H7" s="415" t="s">
        <v>142</v>
      </c>
    </row>
    <row r="8">
      <c r="A8" s="170" t="s">
        <v>107</v>
      </c>
      <c r="B8" s="407" t="s">
        <v>115</v>
      </c>
      <c r="C8" s="173">
        <v>8400.0</v>
      </c>
      <c r="D8" s="170" t="s">
        <v>255</v>
      </c>
      <c r="E8" s="22" t="s">
        <v>255</v>
      </c>
      <c r="H8" s="415" t="s">
        <v>193</v>
      </c>
    </row>
    <row r="9">
      <c r="A9" s="170" t="s">
        <v>107</v>
      </c>
      <c r="B9" s="407" t="s">
        <v>123</v>
      </c>
      <c r="C9" s="173">
        <v>3862.0</v>
      </c>
      <c r="D9" s="170" t="s">
        <v>255</v>
      </c>
      <c r="E9" s="22" t="s">
        <v>255</v>
      </c>
      <c r="H9" s="415" t="s">
        <v>180</v>
      </c>
    </row>
    <row r="10">
      <c r="A10" s="170" t="s">
        <v>107</v>
      </c>
      <c r="B10" s="407" t="s">
        <v>127</v>
      </c>
      <c r="C10" s="173">
        <v>2800.0</v>
      </c>
      <c r="D10" s="170" t="s">
        <v>255</v>
      </c>
      <c r="E10" s="22" t="s">
        <v>255</v>
      </c>
      <c r="H10" s="22" t="s">
        <v>179</v>
      </c>
    </row>
    <row r="11">
      <c r="A11" s="170" t="s">
        <v>107</v>
      </c>
      <c r="B11" s="407" t="s">
        <v>131</v>
      </c>
      <c r="C11" s="173">
        <v>6285.0</v>
      </c>
      <c r="D11" s="170" t="s">
        <v>255</v>
      </c>
      <c r="E11" s="22" t="s">
        <v>255</v>
      </c>
    </row>
    <row r="12">
      <c r="A12" s="170" t="s">
        <v>107</v>
      </c>
      <c r="B12" s="421" t="s">
        <v>135</v>
      </c>
      <c r="C12" s="173">
        <v>15653.0</v>
      </c>
      <c r="D12" s="170" t="s">
        <v>255</v>
      </c>
    </row>
    <row r="13">
      <c r="A13" s="170" t="s">
        <v>140</v>
      </c>
      <c r="B13" s="51" t="s">
        <v>263</v>
      </c>
      <c r="C13" s="407">
        <v>120000.0</v>
      </c>
      <c r="D13" s="170" t="s">
        <v>248</v>
      </c>
      <c r="E13" s="22" t="s">
        <v>264</v>
      </c>
      <c r="F13" s="22"/>
    </row>
    <row r="14">
      <c r="A14" s="170" t="s">
        <v>140</v>
      </c>
      <c r="B14" s="424" t="s">
        <v>265</v>
      </c>
      <c r="C14" s="407">
        <v>0.04</v>
      </c>
      <c r="D14" s="170" t="s">
        <v>248</v>
      </c>
      <c r="E14" s="22" t="s">
        <v>264</v>
      </c>
      <c r="F14" s="22"/>
    </row>
    <row r="15">
      <c r="A15" s="170" t="s">
        <v>140</v>
      </c>
      <c r="B15" s="424" t="s">
        <v>266</v>
      </c>
      <c r="C15" s="407">
        <v>0.0</v>
      </c>
      <c r="D15" s="170" t="s">
        <v>248</v>
      </c>
      <c r="E15" s="22" t="s">
        <v>264</v>
      </c>
      <c r="F15" s="22"/>
    </row>
    <row r="16">
      <c r="A16" s="170" t="s">
        <v>140</v>
      </c>
      <c r="B16" s="424" t="s">
        <v>267</v>
      </c>
      <c r="C16" s="407">
        <v>0.015</v>
      </c>
      <c r="D16" s="170" t="s">
        <v>248</v>
      </c>
      <c r="E16" s="22" t="s">
        <v>264</v>
      </c>
      <c r="F16" s="22"/>
    </row>
    <row r="17">
      <c r="A17" s="170" t="s">
        <v>140</v>
      </c>
      <c r="B17" s="424" t="s">
        <v>268</v>
      </c>
      <c r="C17" s="407">
        <v>0.0</v>
      </c>
      <c r="D17" s="170" t="s">
        <v>248</v>
      </c>
      <c r="E17" s="22" t="s">
        <v>264</v>
      </c>
    </row>
    <row r="18">
      <c r="A18" s="170" t="s">
        <v>140</v>
      </c>
      <c r="B18" s="424" t="s">
        <v>269</v>
      </c>
      <c r="C18" s="407">
        <v>0.0</v>
      </c>
      <c r="D18" s="170" t="s">
        <v>248</v>
      </c>
      <c r="E18" s="22" t="s">
        <v>264</v>
      </c>
    </row>
    <row r="19">
      <c r="A19" s="170" t="s">
        <v>140</v>
      </c>
      <c r="B19" s="424" t="s">
        <v>270</v>
      </c>
      <c r="C19" s="407">
        <v>0.0</v>
      </c>
      <c r="D19" s="170" t="s">
        <v>248</v>
      </c>
      <c r="E19" s="22" t="s">
        <v>264</v>
      </c>
    </row>
    <row r="20">
      <c r="A20" s="170" t="s">
        <v>140</v>
      </c>
      <c r="B20" s="424" t="s">
        <v>271</v>
      </c>
      <c r="C20" s="407">
        <v>0.0</v>
      </c>
      <c r="D20" s="170" t="s">
        <v>248</v>
      </c>
      <c r="E20" s="22" t="s">
        <v>264</v>
      </c>
    </row>
    <row r="21">
      <c r="A21" s="170" t="s">
        <v>140</v>
      </c>
      <c r="B21" s="424" t="s">
        <v>272</v>
      </c>
      <c r="C21" s="170">
        <v>0.0</v>
      </c>
      <c r="D21" s="170" t="s">
        <v>248</v>
      </c>
      <c r="E21" s="22" t="s">
        <v>264</v>
      </c>
    </row>
    <row r="22">
      <c r="A22" s="170" t="s">
        <v>140</v>
      </c>
      <c r="B22" s="424" t="s">
        <v>273</v>
      </c>
      <c r="C22" s="170">
        <v>0.0</v>
      </c>
      <c r="D22" s="170" t="s">
        <v>248</v>
      </c>
      <c r="E22" s="22" t="s">
        <v>264</v>
      </c>
    </row>
    <row r="23">
      <c r="A23" s="170" t="s">
        <v>140</v>
      </c>
      <c r="B23" s="424" t="s">
        <v>274</v>
      </c>
      <c r="C23" s="170">
        <v>0.0</v>
      </c>
      <c r="D23" s="170" t="s">
        <v>248</v>
      </c>
      <c r="E23" s="22" t="s">
        <v>264</v>
      </c>
    </row>
    <row r="24">
      <c r="A24" s="170" t="s">
        <v>140</v>
      </c>
      <c r="B24" s="424" t="s">
        <v>275</v>
      </c>
      <c r="C24" s="170">
        <v>0.0</v>
      </c>
      <c r="D24" s="170" t="s">
        <v>248</v>
      </c>
      <c r="E24" s="22" t="s">
        <v>264</v>
      </c>
    </row>
    <row r="25">
      <c r="A25" s="170" t="s">
        <v>140</v>
      </c>
      <c r="B25" s="424" t="s">
        <v>276</v>
      </c>
      <c r="C25" s="170">
        <v>0.0</v>
      </c>
      <c r="D25" s="170" t="s">
        <v>248</v>
      </c>
      <c r="E25" s="22" t="s">
        <v>264</v>
      </c>
    </row>
    <row r="26">
      <c r="A26" s="170" t="s">
        <v>140</v>
      </c>
      <c r="B26" s="406" t="s">
        <v>277</v>
      </c>
      <c r="C26" s="170">
        <v>0.0</v>
      </c>
      <c r="D26" s="170" t="s">
        <v>255</v>
      </c>
      <c r="E26" s="22" t="s">
        <v>255</v>
      </c>
    </row>
    <row r="27">
      <c r="A27" s="170" t="s">
        <v>140</v>
      </c>
      <c r="B27" s="406" t="s">
        <v>278</v>
      </c>
      <c r="C27" s="426">
        <v>4800.0</v>
      </c>
      <c r="D27" s="170" t="s">
        <v>255</v>
      </c>
      <c r="E27" s="22" t="s">
        <v>255</v>
      </c>
    </row>
    <row r="28">
      <c r="A28" s="170" t="s">
        <v>140</v>
      </c>
      <c r="B28" s="406" t="s">
        <v>279</v>
      </c>
      <c r="C28" s="173">
        <v>0.0</v>
      </c>
      <c r="D28" s="170" t="s">
        <v>255</v>
      </c>
      <c r="E28" s="22" t="s">
        <v>255</v>
      </c>
    </row>
    <row r="29">
      <c r="A29" s="170" t="s">
        <v>140</v>
      </c>
      <c r="B29" s="406" t="s">
        <v>280</v>
      </c>
      <c r="C29" s="173">
        <v>3600.0</v>
      </c>
      <c r="D29" s="170" t="s">
        <v>255</v>
      </c>
      <c r="E29" s="22" t="s">
        <v>255</v>
      </c>
    </row>
    <row r="30">
      <c r="A30" s="170" t="s">
        <v>140</v>
      </c>
      <c r="B30" s="406" t="s">
        <v>281</v>
      </c>
      <c r="C30" s="23">
        <v>0.0</v>
      </c>
      <c r="D30" s="170" t="s">
        <v>255</v>
      </c>
      <c r="E30" s="22" t="s">
        <v>255</v>
      </c>
    </row>
    <row r="31">
      <c r="A31" s="170" t="s">
        <v>140</v>
      </c>
      <c r="B31" s="406" t="s">
        <v>282</v>
      </c>
      <c r="C31" s="173">
        <v>0.0</v>
      </c>
      <c r="D31" s="170" t="s">
        <v>255</v>
      </c>
      <c r="E31" s="22" t="s">
        <v>255</v>
      </c>
    </row>
    <row r="32">
      <c r="A32" s="170" t="s">
        <v>140</v>
      </c>
      <c r="B32" s="406" t="s">
        <v>283</v>
      </c>
      <c r="C32" s="173">
        <v>0.0</v>
      </c>
      <c r="D32" s="170" t="s">
        <v>255</v>
      </c>
      <c r="E32" s="22" t="s">
        <v>255</v>
      </c>
    </row>
    <row r="33">
      <c r="A33" s="170" t="s">
        <v>140</v>
      </c>
      <c r="B33" s="406" t="s">
        <v>284</v>
      </c>
      <c r="C33" s="173">
        <v>0.0</v>
      </c>
      <c r="D33" s="170" t="s">
        <v>255</v>
      </c>
      <c r="E33" s="22" t="s">
        <v>255</v>
      </c>
    </row>
    <row r="34">
      <c r="A34" s="170" t="s">
        <v>140</v>
      </c>
      <c r="B34" s="406" t="s">
        <v>285</v>
      </c>
      <c r="C34" s="411">
        <v>0.0</v>
      </c>
      <c r="D34" s="170" t="s">
        <v>255</v>
      </c>
      <c r="E34" s="22" t="s">
        <v>255</v>
      </c>
    </row>
    <row r="35">
      <c r="A35" s="170" t="s">
        <v>140</v>
      </c>
      <c r="B35" s="406" t="s">
        <v>286</v>
      </c>
      <c r="C35" s="411">
        <v>0.0</v>
      </c>
      <c r="D35" s="170" t="s">
        <v>255</v>
      </c>
      <c r="E35" s="22" t="s">
        <v>255</v>
      </c>
    </row>
    <row r="36">
      <c r="A36" s="170" t="s">
        <v>140</v>
      </c>
      <c r="B36" s="406" t="s">
        <v>287</v>
      </c>
      <c r="C36" s="411">
        <v>0.0</v>
      </c>
      <c r="D36" s="170" t="s">
        <v>255</v>
      </c>
      <c r="E36" s="22" t="s">
        <v>255</v>
      </c>
    </row>
    <row r="37">
      <c r="A37" s="170" t="s">
        <v>140</v>
      </c>
      <c r="B37" s="406" t="s">
        <v>288</v>
      </c>
      <c r="C37" s="411">
        <v>0.0</v>
      </c>
      <c r="D37" s="170" t="s">
        <v>255</v>
      </c>
      <c r="E37" s="22" t="s">
        <v>255</v>
      </c>
    </row>
    <row r="38">
      <c r="A38" s="170" t="s">
        <v>140</v>
      </c>
      <c r="B38" s="406" t="s">
        <v>289</v>
      </c>
      <c r="C38" s="411">
        <v>0.0</v>
      </c>
      <c r="D38" s="170" t="s">
        <v>255</v>
      </c>
      <c r="E38" s="22" t="s">
        <v>255</v>
      </c>
    </row>
    <row r="39">
      <c r="A39" s="170" t="s">
        <v>140</v>
      </c>
      <c r="B39" s="421" t="s">
        <v>176</v>
      </c>
      <c r="C39" s="173">
        <v>8400.0</v>
      </c>
      <c r="D39" s="170" t="s">
        <v>255</v>
      </c>
      <c r="E39" s="22" t="s">
        <v>255</v>
      </c>
    </row>
    <row r="40">
      <c r="A40" s="170" t="s">
        <v>142</v>
      </c>
      <c r="B40" s="406" t="s">
        <v>290</v>
      </c>
      <c r="C40" s="428">
        <v>0.022</v>
      </c>
      <c r="D40" s="170" t="s">
        <v>248</v>
      </c>
      <c r="E40" s="22" t="s">
        <v>291</v>
      </c>
    </row>
    <row r="41">
      <c r="A41" s="170" t="s">
        <v>142</v>
      </c>
      <c r="B41" s="406" t="s">
        <v>292</v>
      </c>
      <c r="C41" s="407">
        <v>0.0</v>
      </c>
      <c r="D41" s="170" t="s">
        <v>248</v>
      </c>
      <c r="E41" s="22" t="s">
        <v>293</v>
      </c>
    </row>
    <row r="42">
      <c r="A42" s="170" t="s">
        <v>142</v>
      </c>
      <c r="B42" s="406" t="s">
        <v>294</v>
      </c>
      <c r="C42" s="407">
        <v>500.0</v>
      </c>
      <c r="D42" s="170" t="s">
        <v>248</v>
      </c>
      <c r="E42" s="22" t="s">
        <v>295</v>
      </c>
    </row>
    <row r="43">
      <c r="A43" s="170" t="s">
        <v>142</v>
      </c>
      <c r="B43" s="406" t="s">
        <v>296</v>
      </c>
      <c r="C43" s="407">
        <v>0.0</v>
      </c>
      <c r="D43" s="170" t="s">
        <v>248</v>
      </c>
      <c r="E43" s="22" t="s">
        <v>297</v>
      </c>
    </row>
    <row r="44">
      <c r="A44" s="170" t="s">
        <v>142</v>
      </c>
      <c r="B44" s="406" t="s">
        <v>298</v>
      </c>
      <c r="C44" s="407">
        <v>56.0</v>
      </c>
      <c r="D44" s="170" t="s">
        <v>248</v>
      </c>
      <c r="E44" s="22" t="s">
        <v>297</v>
      </c>
    </row>
    <row r="45">
      <c r="A45" s="170" t="s">
        <v>142</v>
      </c>
      <c r="B45" s="406" t="s">
        <v>299</v>
      </c>
      <c r="C45" s="407">
        <v>24.0</v>
      </c>
      <c r="D45" s="170" t="s">
        <v>248</v>
      </c>
      <c r="E45" s="22" t="s">
        <v>297</v>
      </c>
    </row>
    <row r="46">
      <c r="A46" s="170" t="s">
        <v>142</v>
      </c>
      <c r="B46" s="406" t="s">
        <v>300</v>
      </c>
      <c r="C46" s="407">
        <v>76.0</v>
      </c>
      <c r="D46" s="170" t="s">
        <v>248</v>
      </c>
      <c r="E46" s="22" t="s">
        <v>297</v>
      </c>
    </row>
    <row r="47">
      <c r="A47" s="170" t="s">
        <v>142</v>
      </c>
      <c r="B47" s="406" t="s">
        <v>301</v>
      </c>
      <c r="C47" s="170">
        <v>0.0</v>
      </c>
      <c r="D47" s="170" t="s">
        <v>248</v>
      </c>
      <c r="E47" s="22" t="s">
        <v>297</v>
      </c>
    </row>
    <row r="48">
      <c r="A48" s="170" t="s">
        <v>142</v>
      </c>
      <c r="B48" s="406" t="s">
        <v>302</v>
      </c>
      <c r="C48" s="426">
        <v>989.9999999999999</v>
      </c>
      <c r="D48" s="170" t="s">
        <v>255</v>
      </c>
      <c r="E48" s="22" t="s">
        <v>255</v>
      </c>
    </row>
    <row r="49">
      <c r="A49" s="170" t="s">
        <v>142</v>
      </c>
      <c r="B49" s="406" t="s">
        <v>303</v>
      </c>
      <c r="C49" s="426">
        <v>0.0</v>
      </c>
      <c r="D49" s="170" t="s">
        <v>255</v>
      </c>
      <c r="E49" s="22" t="s">
        <v>255</v>
      </c>
    </row>
    <row r="50">
      <c r="A50" s="170" t="s">
        <v>142</v>
      </c>
      <c r="B50" s="406" t="s">
        <v>304</v>
      </c>
      <c r="C50" s="426">
        <v>1000.0</v>
      </c>
      <c r="D50" s="170" t="s">
        <v>255</v>
      </c>
      <c r="E50" s="22" t="s">
        <v>255</v>
      </c>
    </row>
    <row r="51">
      <c r="A51" s="170" t="s">
        <v>142</v>
      </c>
      <c r="B51" s="406" t="s">
        <v>305</v>
      </c>
      <c r="C51" s="426">
        <v>0.0</v>
      </c>
      <c r="D51" s="170" t="s">
        <v>255</v>
      </c>
      <c r="E51" s="22" t="s">
        <v>255</v>
      </c>
    </row>
    <row r="52">
      <c r="A52" s="170" t="s">
        <v>142</v>
      </c>
      <c r="B52" s="406" t="s">
        <v>306</v>
      </c>
      <c r="C52" s="426">
        <v>672.0</v>
      </c>
      <c r="D52" s="170" t="s">
        <v>255</v>
      </c>
      <c r="E52" s="22" t="s">
        <v>255</v>
      </c>
    </row>
    <row r="53">
      <c r="A53" s="170" t="s">
        <v>142</v>
      </c>
      <c r="B53" s="406" t="s">
        <v>307</v>
      </c>
      <c r="C53" s="426">
        <v>288.0</v>
      </c>
      <c r="D53" s="170" t="s">
        <v>255</v>
      </c>
      <c r="E53" s="22" t="s">
        <v>255</v>
      </c>
    </row>
    <row r="54">
      <c r="A54" s="170" t="s">
        <v>142</v>
      </c>
      <c r="B54" s="406" t="s">
        <v>308</v>
      </c>
      <c r="C54" s="426">
        <v>912.0</v>
      </c>
      <c r="D54" s="170" t="s">
        <v>255</v>
      </c>
      <c r="E54" s="22" t="s">
        <v>255</v>
      </c>
    </row>
    <row r="55">
      <c r="A55" s="170" t="s">
        <v>142</v>
      </c>
      <c r="B55" s="406" t="s">
        <v>309</v>
      </c>
      <c r="C55" s="426">
        <v>0.0</v>
      </c>
      <c r="D55" s="170" t="s">
        <v>255</v>
      </c>
      <c r="E55" s="22" t="s">
        <v>255</v>
      </c>
    </row>
    <row r="56">
      <c r="A56" s="170" t="s">
        <v>142</v>
      </c>
      <c r="B56" s="421" t="s">
        <v>168</v>
      </c>
      <c r="C56" s="426">
        <v>3862.0</v>
      </c>
      <c r="D56" s="170" t="s">
        <v>255</v>
      </c>
    </row>
    <row r="57">
      <c r="A57" s="170" t="s">
        <v>142</v>
      </c>
      <c r="B57" s="406" t="s">
        <v>310</v>
      </c>
      <c r="C57" s="170">
        <v>0.0</v>
      </c>
      <c r="D57" s="170" t="s">
        <v>248</v>
      </c>
      <c r="E57" s="22" t="s">
        <v>311</v>
      </c>
    </row>
    <row r="58">
      <c r="A58" s="170" t="s">
        <v>142</v>
      </c>
      <c r="B58" s="406" t="s">
        <v>310</v>
      </c>
      <c r="C58" s="170">
        <v>0.0</v>
      </c>
      <c r="D58" s="170" t="s">
        <v>248</v>
      </c>
      <c r="E58" s="22" t="s">
        <v>311</v>
      </c>
    </row>
    <row r="59">
      <c r="A59" s="170" t="s">
        <v>142</v>
      </c>
      <c r="B59" s="406" t="s">
        <v>310</v>
      </c>
      <c r="C59" s="170">
        <v>0.0</v>
      </c>
      <c r="D59" s="170" t="s">
        <v>248</v>
      </c>
      <c r="E59" s="22" t="s">
        <v>311</v>
      </c>
    </row>
    <row r="60">
      <c r="A60" s="170" t="s">
        <v>142</v>
      </c>
      <c r="B60" s="406" t="s">
        <v>310</v>
      </c>
      <c r="C60" s="170">
        <v>0.0</v>
      </c>
      <c r="D60" s="170" t="s">
        <v>248</v>
      </c>
      <c r="E60" s="22" t="s">
        <v>311</v>
      </c>
    </row>
    <row r="61">
      <c r="A61" s="170" t="s">
        <v>142</v>
      </c>
      <c r="B61" s="433" t="s">
        <v>312</v>
      </c>
      <c r="C61" s="170">
        <v>0.0</v>
      </c>
      <c r="D61" s="170" t="s">
        <v>255</v>
      </c>
      <c r="E61" s="22" t="s">
        <v>255</v>
      </c>
    </row>
    <row r="62">
      <c r="A62" s="170" t="s">
        <v>179</v>
      </c>
      <c r="B62" s="406" t="s">
        <v>313</v>
      </c>
      <c r="C62" s="428">
        <v>0.01</v>
      </c>
      <c r="D62" s="170" t="s">
        <v>248</v>
      </c>
      <c r="E62" s="22" t="s">
        <v>314</v>
      </c>
    </row>
    <row r="63">
      <c r="A63" s="170" t="s">
        <v>179</v>
      </c>
      <c r="B63" s="406" t="s">
        <v>315</v>
      </c>
      <c r="C63" s="428">
        <v>0.01</v>
      </c>
      <c r="D63" s="170" t="s">
        <v>248</v>
      </c>
      <c r="E63" s="22" t="s">
        <v>316</v>
      </c>
    </row>
    <row r="64">
      <c r="A64" s="170" t="s">
        <v>179</v>
      </c>
      <c r="B64" s="406" t="s">
        <v>317</v>
      </c>
      <c r="C64" s="428">
        <v>0.0</v>
      </c>
      <c r="D64" s="170" t="s">
        <v>248</v>
      </c>
      <c r="E64" s="22" t="s">
        <v>318</v>
      </c>
    </row>
    <row r="65">
      <c r="A65" s="170" t="s">
        <v>179</v>
      </c>
      <c r="B65" s="406" t="s">
        <v>319</v>
      </c>
      <c r="C65" s="173">
        <v>1400.0</v>
      </c>
      <c r="D65" s="170" t="s">
        <v>255</v>
      </c>
      <c r="E65" s="22" t="s">
        <v>255</v>
      </c>
    </row>
    <row r="66">
      <c r="A66" s="170" t="s">
        <v>179</v>
      </c>
      <c r="B66" s="406" t="s">
        <v>320</v>
      </c>
      <c r="C66" s="173">
        <v>1400.0</v>
      </c>
      <c r="D66" s="170" t="s">
        <v>255</v>
      </c>
      <c r="E66" s="22" t="s">
        <v>255</v>
      </c>
    </row>
    <row r="67">
      <c r="A67" s="170" t="s">
        <v>179</v>
      </c>
      <c r="B67" s="406" t="s">
        <v>321</v>
      </c>
      <c r="C67" s="173">
        <v>0.0</v>
      </c>
      <c r="D67" s="170" t="s">
        <v>255</v>
      </c>
      <c r="E67" s="22" t="s">
        <v>255</v>
      </c>
    </row>
    <row r="68">
      <c r="A68" s="170" t="s">
        <v>193</v>
      </c>
      <c r="B68" s="170" t="s">
        <v>313</v>
      </c>
      <c r="C68" s="428">
        <v>0.02</v>
      </c>
      <c r="D68" s="170" t="s">
        <v>248</v>
      </c>
      <c r="E68" s="22" t="s">
        <v>314</v>
      </c>
    </row>
    <row r="69">
      <c r="A69" s="170" t="s">
        <v>193</v>
      </c>
      <c r="B69" s="406" t="s">
        <v>322</v>
      </c>
      <c r="C69" s="428">
        <v>0.005</v>
      </c>
      <c r="D69" s="170" t="s">
        <v>248</v>
      </c>
      <c r="E69" s="22" t="s">
        <v>316</v>
      </c>
    </row>
    <row r="70">
      <c r="A70" s="170" t="s">
        <v>193</v>
      </c>
      <c r="B70" s="406" t="s">
        <v>323</v>
      </c>
      <c r="C70" s="428">
        <v>0.0</v>
      </c>
      <c r="D70" s="170" t="s">
        <v>248</v>
      </c>
      <c r="E70" s="22" t="s">
        <v>311</v>
      </c>
    </row>
    <row r="71">
      <c r="A71" s="170" t="s">
        <v>193</v>
      </c>
      <c r="B71" s="406" t="s">
        <v>324</v>
      </c>
      <c r="C71" s="428">
        <v>0.03</v>
      </c>
      <c r="D71" s="170" t="s">
        <v>248</v>
      </c>
      <c r="E71" s="22" t="s">
        <v>325</v>
      </c>
    </row>
    <row r="72">
      <c r="A72" s="170" t="s">
        <v>193</v>
      </c>
      <c r="B72" s="170" t="s">
        <v>319</v>
      </c>
      <c r="C72" s="173">
        <v>2800.0</v>
      </c>
      <c r="D72" s="170" t="s">
        <v>255</v>
      </c>
      <c r="E72" s="22" t="s">
        <v>255</v>
      </c>
    </row>
    <row r="73">
      <c r="A73" s="170" t="s">
        <v>193</v>
      </c>
      <c r="B73" s="406" t="s">
        <v>326</v>
      </c>
      <c r="C73" s="173">
        <v>355.0</v>
      </c>
      <c r="D73" s="170" t="s">
        <v>255</v>
      </c>
      <c r="E73" s="22" t="s">
        <v>255</v>
      </c>
    </row>
    <row r="74">
      <c r="A74" s="170" t="s">
        <v>193</v>
      </c>
      <c r="B74" s="406" t="s">
        <v>327</v>
      </c>
      <c r="C74" s="173">
        <v>0.0</v>
      </c>
      <c r="D74" s="170" t="s">
        <v>255</v>
      </c>
      <c r="E74" s="22" t="s">
        <v>255</v>
      </c>
    </row>
    <row r="75">
      <c r="A75" s="170" t="s">
        <v>193</v>
      </c>
      <c r="B75" s="406" t="s">
        <v>328</v>
      </c>
      <c r="C75" s="173">
        <v>2130.0</v>
      </c>
      <c r="D75" s="170" t="s">
        <v>255</v>
      </c>
      <c r="E75" s="22" t="s">
        <v>255</v>
      </c>
    </row>
    <row r="76">
      <c r="A76" s="170" t="s">
        <v>193</v>
      </c>
      <c r="B76" s="406" t="s">
        <v>329</v>
      </c>
      <c r="C76" s="411">
        <v>1000.0</v>
      </c>
      <c r="D76" s="170" t="s">
        <v>255</v>
      </c>
      <c r="E76" s="22" t="s">
        <v>255</v>
      </c>
    </row>
    <row r="77">
      <c r="A77" s="170" t="s">
        <v>193</v>
      </c>
      <c r="B77" s="406" t="s">
        <v>330</v>
      </c>
      <c r="C77" s="411">
        <v>0.0</v>
      </c>
      <c r="D77" s="170" t="s">
        <v>255</v>
      </c>
      <c r="E77" s="22" t="s">
        <v>255</v>
      </c>
    </row>
    <row r="78">
      <c r="A78" s="170" t="s">
        <v>193</v>
      </c>
      <c r="B78" s="406" t="s">
        <v>331</v>
      </c>
      <c r="C78" s="411">
        <v>0.0</v>
      </c>
      <c r="D78" s="170" t="s">
        <v>255</v>
      </c>
      <c r="E78" s="22" t="s">
        <v>255</v>
      </c>
    </row>
    <row r="79">
      <c r="A79" s="170" t="s">
        <v>193</v>
      </c>
      <c r="B79" s="406" t="s">
        <v>332</v>
      </c>
      <c r="C79" s="411">
        <v>0.0</v>
      </c>
      <c r="D79" s="170" t="s">
        <v>255</v>
      </c>
      <c r="E79" s="22" t="s">
        <v>255</v>
      </c>
    </row>
    <row r="80">
      <c r="A80" s="170" t="s">
        <v>180</v>
      </c>
      <c r="B80" s="170" t="s">
        <v>333</v>
      </c>
      <c r="C80" s="170" t="s">
        <v>334</v>
      </c>
      <c r="D80" s="170" t="s">
        <v>258</v>
      </c>
    </row>
    <row r="81">
      <c r="A81" s="170" t="s">
        <v>250</v>
      </c>
      <c r="B81" s="407" t="s">
        <v>6</v>
      </c>
      <c r="C81" s="23">
        <v>98000.0</v>
      </c>
      <c r="D81" s="170" t="s">
        <v>255</v>
      </c>
      <c r="E81" s="22" t="s">
        <v>255</v>
      </c>
    </row>
    <row r="82">
      <c r="A82" s="170" t="s">
        <v>250</v>
      </c>
      <c r="B82" s="407" t="s">
        <v>23</v>
      </c>
      <c r="C82" s="411">
        <v>5000.0</v>
      </c>
      <c r="D82" s="170" t="s">
        <v>248</v>
      </c>
      <c r="E82" s="22" t="s">
        <v>335</v>
      </c>
    </row>
    <row r="83">
      <c r="A83" s="170" t="s">
        <v>250</v>
      </c>
      <c r="B83" s="407" t="s">
        <v>33</v>
      </c>
      <c r="C83" s="173">
        <v>103000.0</v>
      </c>
      <c r="D83" s="170" t="s">
        <v>255</v>
      </c>
      <c r="E83" s="22" t="s">
        <v>255</v>
      </c>
    </row>
    <row r="84">
      <c r="A84" s="170" t="s">
        <v>250</v>
      </c>
      <c r="B84" s="407" t="s">
        <v>40</v>
      </c>
      <c r="C84" s="411">
        <v>-32000.0</v>
      </c>
      <c r="D84" s="170" t="s">
        <v>255</v>
      </c>
      <c r="E84" s="22" t="s">
        <v>255</v>
      </c>
    </row>
    <row r="85">
      <c r="A85" s="170" t="s">
        <v>250</v>
      </c>
      <c r="B85" s="407" t="s">
        <v>43</v>
      </c>
      <c r="C85" s="173">
        <v>71000.0</v>
      </c>
      <c r="D85" s="170" t="s">
        <v>255</v>
      </c>
      <c r="E85" s="22" t="s">
        <v>255</v>
      </c>
    </row>
    <row r="86">
      <c r="A86" s="170" t="s">
        <v>250</v>
      </c>
      <c r="B86" s="407" t="s">
        <v>47</v>
      </c>
      <c r="C86" s="185">
        <v>0.5071428571428571</v>
      </c>
      <c r="D86" s="170" t="s">
        <v>255</v>
      </c>
      <c r="E86" s="22" t="s">
        <v>255</v>
      </c>
    </row>
    <row r="87">
      <c r="A87" s="170"/>
      <c r="B87" s="426"/>
      <c r="C87" s="426"/>
      <c r="D87" s="170"/>
    </row>
    <row r="88">
      <c r="A88" s="170" t="s">
        <v>256</v>
      </c>
      <c r="B88" s="426"/>
      <c r="C88" s="426"/>
      <c r="D88" s="170" t="s">
        <v>258</v>
      </c>
    </row>
    <row r="89">
      <c r="A89" s="170" t="s">
        <v>256</v>
      </c>
      <c r="B89" s="426"/>
      <c r="C89" s="426"/>
      <c r="D89" s="170" t="s">
        <v>258</v>
      </c>
    </row>
    <row r="90">
      <c r="A90" s="170" t="s">
        <v>256</v>
      </c>
      <c r="B90" s="426"/>
      <c r="C90" s="426"/>
      <c r="D90" s="170" t="s">
        <v>258</v>
      </c>
    </row>
    <row r="91">
      <c r="A91" s="170" t="s">
        <v>256</v>
      </c>
      <c r="B91" s="426"/>
      <c r="C91" s="426"/>
      <c r="D91" s="170" t="s">
        <v>258</v>
      </c>
    </row>
    <row r="92">
      <c r="A92" s="170" t="s">
        <v>256</v>
      </c>
      <c r="B92" s="426"/>
      <c r="C92" s="426"/>
      <c r="D92" s="170" t="s">
        <v>258</v>
      </c>
    </row>
    <row r="93">
      <c r="A93" s="170" t="s">
        <v>256</v>
      </c>
      <c r="B93" s="426"/>
      <c r="C93" s="426"/>
      <c r="D93" s="170" t="s">
        <v>258</v>
      </c>
    </row>
    <row r="94">
      <c r="A94" s="170" t="s">
        <v>256</v>
      </c>
      <c r="B94" s="426"/>
      <c r="C94" s="426"/>
      <c r="D94" s="170" t="s">
        <v>258</v>
      </c>
    </row>
    <row r="95">
      <c r="A95" s="170" t="s">
        <v>256</v>
      </c>
      <c r="B95" s="426"/>
      <c r="C95" s="426"/>
      <c r="D95" s="170" t="s">
        <v>258</v>
      </c>
    </row>
    <row r="96">
      <c r="A96" s="170" t="s">
        <v>256</v>
      </c>
      <c r="B96" s="426"/>
      <c r="C96" s="426"/>
      <c r="D96" s="170" t="s">
        <v>258</v>
      </c>
    </row>
    <row r="97">
      <c r="A97" s="170" t="s">
        <v>256</v>
      </c>
      <c r="B97" s="426"/>
      <c r="C97" s="426"/>
      <c r="D97" s="170" t="s">
        <v>258</v>
      </c>
    </row>
    <row r="98">
      <c r="A98" s="170" t="s">
        <v>256</v>
      </c>
      <c r="B98" s="426"/>
      <c r="C98" s="426"/>
      <c r="D98" s="170" t="s">
        <v>258</v>
      </c>
    </row>
    <row r="99">
      <c r="A99" s="170" t="s">
        <v>256</v>
      </c>
      <c r="B99" s="426"/>
      <c r="C99" s="426"/>
      <c r="D99" s="170" t="s">
        <v>258</v>
      </c>
    </row>
    <row r="100">
      <c r="A100" s="170" t="s">
        <v>256</v>
      </c>
      <c r="B100" s="426"/>
      <c r="C100" s="426"/>
      <c r="D100" s="170" t="s">
        <v>258</v>
      </c>
    </row>
    <row r="101">
      <c r="A101" s="170" t="s">
        <v>256</v>
      </c>
      <c r="B101" s="426"/>
      <c r="C101" s="426"/>
      <c r="D101" s="170" t="s">
        <v>258</v>
      </c>
    </row>
    <row r="102">
      <c r="A102" s="170" t="s">
        <v>256</v>
      </c>
      <c r="B102" s="426"/>
      <c r="C102" s="426"/>
      <c r="D102" s="170" t="s">
        <v>258</v>
      </c>
    </row>
    <row r="103">
      <c r="A103" s="170" t="s">
        <v>256</v>
      </c>
      <c r="B103" s="426"/>
      <c r="C103" s="426"/>
      <c r="D103" s="170" t="s">
        <v>258</v>
      </c>
    </row>
    <row r="104">
      <c r="A104" s="170" t="s">
        <v>256</v>
      </c>
      <c r="B104" s="426"/>
      <c r="C104" s="426"/>
      <c r="D104" s="170" t="s">
        <v>258</v>
      </c>
    </row>
    <row r="105">
      <c r="A105" s="170" t="s">
        <v>256</v>
      </c>
      <c r="B105" s="426"/>
      <c r="C105" s="426"/>
      <c r="D105" s="170" t="s">
        <v>258</v>
      </c>
    </row>
    <row r="106">
      <c r="A106" s="170" t="s">
        <v>256</v>
      </c>
      <c r="B106" s="426"/>
      <c r="C106" s="426"/>
      <c r="D106" s="170" t="s">
        <v>258</v>
      </c>
    </row>
    <row r="107">
      <c r="A107" s="170" t="s">
        <v>256</v>
      </c>
      <c r="B107" s="426"/>
      <c r="C107" s="426"/>
      <c r="D107" s="170" t="s">
        <v>258</v>
      </c>
    </row>
    <row r="108">
      <c r="A108" s="170" t="s">
        <v>256</v>
      </c>
      <c r="B108" s="426"/>
      <c r="C108" s="426"/>
      <c r="D108" s="170" t="s">
        <v>258</v>
      </c>
    </row>
    <row r="109">
      <c r="A109" s="170" t="s">
        <v>256</v>
      </c>
      <c r="B109" s="426"/>
      <c r="C109" s="426"/>
      <c r="D109" s="170" t="s">
        <v>258</v>
      </c>
    </row>
    <row r="110">
      <c r="A110" s="170" t="s">
        <v>256</v>
      </c>
      <c r="B110" s="426"/>
      <c r="C110" s="426"/>
      <c r="D110" s="170" t="s">
        <v>258</v>
      </c>
    </row>
    <row r="111">
      <c r="A111" s="170" t="s">
        <v>256</v>
      </c>
      <c r="B111" s="426"/>
      <c r="C111" s="426"/>
      <c r="D111" s="170" t="s">
        <v>258</v>
      </c>
    </row>
  </sheetData>
  <dataValidations>
    <dataValidation type="list" allowBlank="1" sqref="D2:D111">
      <formula1>$G$1:$G$3</formula1>
    </dataValidation>
    <dataValidation type="list" allowBlank="1" sqref="A2:A111">
      <formula1>$H$1:$H$9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336</v>
      </c>
      <c r="B1" s="22" t="s">
        <v>337</v>
      </c>
      <c r="C1" s="434" t="s">
        <v>110</v>
      </c>
      <c r="D1" s="435" t="s">
        <v>114</v>
      </c>
      <c r="E1" s="435" t="s">
        <v>120</v>
      </c>
      <c r="F1" s="435" t="s">
        <v>126</v>
      </c>
      <c r="G1" s="435" t="s">
        <v>130</v>
      </c>
      <c r="H1" s="435" t="s">
        <v>133</v>
      </c>
      <c r="I1" s="435" t="s">
        <v>115</v>
      </c>
      <c r="J1" s="435" t="s">
        <v>123</v>
      </c>
      <c r="K1" s="435" t="s">
        <v>127</v>
      </c>
      <c r="L1" s="435" t="s">
        <v>131</v>
      </c>
      <c r="M1" s="435" t="s">
        <v>135</v>
      </c>
      <c r="N1" s="434" t="s">
        <v>263</v>
      </c>
      <c r="O1" s="434" t="s">
        <v>265</v>
      </c>
      <c r="P1" s="434" t="s">
        <v>266</v>
      </c>
      <c r="Q1" s="434" t="s">
        <v>267</v>
      </c>
      <c r="R1" s="434" t="s">
        <v>268</v>
      </c>
      <c r="S1" s="434" t="s">
        <v>269</v>
      </c>
      <c r="T1" s="434" t="s">
        <v>270</v>
      </c>
      <c r="U1" s="434" t="s">
        <v>271</v>
      </c>
      <c r="V1" s="434" t="s">
        <v>272</v>
      </c>
      <c r="W1" s="434" t="s">
        <v>273</v>
      </c>
      <c r="X1" s="434" t="s">
        <v>274</v>
      </c>
      <c r="Y1" s="434" t="s">
        <v>275</v>
      </c>
      <c r="Z1" s="434" t="s">
        <v>276</v>
      </c>
      <c r="AA1" s="434" t="s">
        <v>277</v>
      </c>
      <c r="AB1" s="434" t="s">
        <v>278</v>
      </c>
      <c r="AC1" s="434" t="s">
        <v>279</v>
      </c>
      <c r="AD1" s="434" t="s">
        <v>280</v>
      </c>
      <c r="AE1" s="434" t="s">
        <v>281</v>
      </c>
      <c r="AF1" s="434" t="s">
        <v>282</v>
      </c>
      <c r="AG1" s="434" t="s">
        <v>283</v>
      </c>
      <c r="AH1" s="434" t="s">
        <v>284</v>
      </c>
      <c r="AI1" s="434" t="s">
        <v>285</v>
      </c>
      <c r="AJ1" s="434" t="s">
        <v>286</v>
      </c>
      <c r="AK1" s="434" t="s">
        <v>287</v>
      </c>
      <c r="AL1" s="434" t="s">
        <v>288</v>
      </c>
      <c r="AM1" s="434" t="s">
        <v>289</v>
      </c>
      <c r="AN1" s="435" t="s">
        <v>176</v>
      </c>
      <c r="AO1" s="434" t="s">
        <v>290</v>
      </c>
      <c r="AP1" s="434" t="s">
        <v>292</v>
      </c>
      <c r="AQ1" s="434" t="s">
        <v>294</v>
      </c>
      <c r="AR1" s="434" t="s">
        <v>296</v>
      </c>
      <c r="AS1" s="434" t="s">
        <v>298</v>
      </c>
      <c r="AT1" s="434" t="s">
        <v>299</v>
      </c>
      <c r="AU1" s="434" t="s">
        <v>300</v>
      </c>
      <c r="AV1" s="434" t="s">
        <v>301</v>
      </c>
      <c r="AW1" s="434" t="s">
        <v>302</v>
      </c>
      <c r="AX1" s="434" t="s">
        <v>303</v>
      </c>
      <c r="AY1" s="434" t="s">
        <v>304</v>
      </c>
      <c r="AZ1" s="434" t="s">
        <v>305</v>
      </c>
      <c r="BA1" s="434" t="s">
        <v>306</v>
      </c>
      <c r="BB1" s="434" t="s">
        <v>307</v>
      </c>
      <c r="BC1" s="434" t="s">
        <v>308</v>
      </c>
      <c r="BD1" s="434" t="s">
        <v>309</v>
      </c>
      <c r="BE1" s="435" t="s">
        <v>168</v>
      </c>
      <c r="BF1" s="434" t="s">
        <v>310</v>
      </c>
      <c r="BG1" s="434" t="s">
        <v>310</v>
      </c>
      <c r="BH1" s="434" t="s">
        <v>310</v>
      </c>
      <c r="BI1" s="434" t="s">
        <v>310</v>
      </c>
      <c r="BJ1" s="435" t="s">
        <v>312</v>
      </c>
      <c r="BK1" s="434" t="s">
        <v>313</v>
      </c>
      <c r="BL1" s="434" t="s">
        <v>315</v>
      </c>
      <c r="BM1" s="434" t="s">
        <v>317</v>
      </c>
      <c r="BN1" s="434" t="s">
        <v>319</v>
      </c>
      <c r="BO1" s="434" t="s">
        <v>320</v>
      </c>
      <c r="BP1" s="434" t="s">
        <v>321</v>
      </c>
      <c r="BQ1" s="434" t="s">
        <v>313</v>
      </c>
      <c r="BR1" s="434" t="s">
        <v>322</v>
      </c>
      <c r="BS1" s="434" t="s">
        <v>323</v>
      </c>
      <c r="BT1" s="434" t="s">
        <v>324</v>
      </c>
      <c r="BU1" s="434" t="s">
        <v>319</v>
      </c>
      <c r="BV1" s="434" t="s">
        <v>326</v>
      </c>
      <c r="BW1" s="434" t="s">
        <v>327</v>
      </c>
      <c r="BX1" s="434" t="s">
        <v>328</v>
      </c>
      <c r="BY1" s="434" t="s">
        <v>329</v>
      </c>
      <c r="BZ1" s="434" t="s">
        <v>330</v>
      </c>
      <c r="CA1" s="434" t="s">
        <v>331</v>
      </c>
      <c r="CB1" s="434" t="s">
        <v>332</v>
      </c>
      <c r="CC1" s="435" t="s">
        <v>333</v>
      </c>
      <c r="CD1" s="435" t="s">
        <v>6</v>
      </c>
      <c r="CE1" s="435" t="s">
        <v>23</v>
      </c>
      <c r="CF1" s="435" t="s">
        <v>33</v>
      </c>
      <c r="CG1" s="435" t="s">
        <v>40</v>
      </c>
      <c r="CH1" s="435" t="s">
        <v>43</v>
      </c>
      <c r="CI1" s="435" t="s">
        <v>47</v>
      </c>
    </row>
    <row r="2">
      <c r="A2" s="22" t="s">
        <v>338</v>
      </c>
      <c r="B2" s="435" t="s">
        <v>245</v>
      </c>
      <c r="C2" s="435">
        <v>2.0</v>
      </c>
      <c r="D2" s="435">
        <v>45000.0</v>
      </c>
      <c r="E2" s="435">
        <v>71000.0</v>
      </c>
      <c r="F2" s="435">
        <v>32000.0</v>
      </c>
      <c r="G2" s="435">
        <v>140000.0</v>
      </c>
      <c r="H2" s="435">
        <v>-103000.0</v>
      </c>
      <c r="I2" s="435">
        <v>8400.0</v>
      </c>
      <c r="J2" s="435">
        <v>3862.0</v>
      </c>
      <c r="K2" s="435">
        <v>2800.0</v>
      </c>
      <c r="L2" s="435">
        <v>6285.0</v>
      </c>
      <c r="M2" s="435">
        <v>15653.0</v>
      </c>
      <c r="N2" s="435">
        <v>120000.0</v>
      </c>
      <c r="O2" s="435">
        <v>0.04</v>
      </c>
      <c r="P2" s="435">
        <v>0.0</v>
      </c>
      <c r="Q2" s="435">
        <v>0.015</v>
      </c>
      <c r="R2" s="435">
        <v>0.0</v>
      </c>
      <c r="S2" s="435">
        <v>0.0</v>
      </c>
      <c r="T2" s="435">
        <v>0.0</v>
      </c>
      <c r="U2" s="435">
        <v>0.0</v>
      </c>
      <c r="V2" s="435">
        <v>0.0</v>
      </c>
      <c r="W2" s="435">
        <v>0.0</v>
      </c>
      <c r="X2" s="435">
        <v>0.0</v>
      </c>
      <c r="Y2" s="435">
        <v>0.0</v>
      </c>
      <c r="Z2" s="435">
        <v>0.0</v>
      </c>
      <c r="AA2" s="435">
        <v>0.0</v>
      </c>
      <c r="AB2" s="435">
        <v>4800.0</v>
      </c>
      <c r="AC2" s="435">
        <v>0.0</v>
      </c>
      <c r="AD2" s="435">
        <v>3600.0</v>
      </c>
      <c r="AE2" s="435">
        <v>0.0</v>
      </c>
      <c r="AF2" s="435">
        <v>0.0</v>
      </c>
      <c r="AG2" s="435">
        <v>0.0</v>
      </c>
      <c r="AH2" s="435">
        <v>0.0</v>
      </c>
      <c r="AI2" s="435">
        <v>0.0</v>
      </c>
      <c r="AJ2" s="435">
        <v>0.0</v>
      </c>
      <c r="AK2" s="435">
        <v>0.0</v>
      </c>
      <c r="AL2" s="435">
        <v>0.0</v>
      </c>
      <c r="AM2" s="435">
        <v>0.0</v>
      </c>
      <c r="AN2" s="435">
        <v>8400.0</v>
      </c>
      <c r="AO2" s="435">
        <v>0.022</v>
      </c>
      <c r="AP2" s="435">
        <v>0.0</v>
      </c>
      <c r="AQ2" s="435">
        <v>500.0</v>
      </c>
      <c r="AR2" s="435">
        <v>0.0</v>
      </c>
      <c r="AS2" s="435">
        <v>56.0</v>
      </c>
      <c r="AT2" s="435">
        <v>24.0</v>
      </c>
      <c r="AU2" s="435">
        <v>76.0</v>
      </c>
      <c r="AV2" s="435">
        <v>0.0</v>
      </c>
      <c r="AW2" s="435">
        <v>989.9999999999999</v>
      </c>
      <c r="AX2" s="435">
        <v>0.0</v>
      </c>
      <c r="AY2" s="435">
        <v>1000.0</v>
      </c>
      <c r="AZ2" s="435">
        <v>0.0</v>
      </c>
      <c r="BA2" s="435">
        <v>672.0</v>
      </c>
      <c r="BB2" s="435">
        <v>288.0</v>
      </c>
      <c r="BC2" s="435">
        <v>912.0</v>
      </c>
      <c r="BD2" s="435">
        <v>0.0</v>
      </c>
      <c r="BE2" s="435">
        <v>3862.0</v>
      </c>
      <c r="BF2" s="435">
        <v>0.0</v>
      </c>
      <c r="BG2" s="435">
        <v>0.0</v>
      </c>
      <c r="BH2" s="435">
        <v>0.0</v>
      </c>
      <c r="BI2" s="435">
        <v>0.0</v>
      </c>
      <c r="BJ2" s="435">
        <v>0.0</v>
      </c>
      <c r="BK2" s="435">
        <v>0.01</v>
      </c>
      <c r="BL2" s="435">
        <v>0.01</v>
      </c>
      <c r="BM2" s="435">
        <v>0.0</v>
      </c>
      <c r="BN2" s="435">
        <v>1400.0</v>
      </c>
      <c r="BO2" s="435">
        <v>1400.0</v>
      </c>
      <c r="BP2" s="435">
        <v>0.0</v>
      </c>
      <c r="BQ2" s="435">
        <v>0.02</v>
      </c>
      <c r="BR2" s="435">
        <v>0.005</v>
      </c>
      <c r="BS2" s="435">
        <v>0.0</v>
      </c>
      <c r="BT2" s="435">
        <v>0.03</v>
      </c>
      <c r="BU2" s="435">
        <v>2800.0</v>
      </c>
      <c r="BV2" s="435">
        <v>355.0</v>
      </c>
      <c r="BW2" s="435">
        <v>0.0</v>
      </c>
      <c r="BX2" s="435">
        <v>2130.0</v>
      </c>
      <c r="BY2" s="435">
        <v>1000.0</v>
      </c>
      <c r="BZ2" s="435">
        <v>0.0</v>
      </c>
      <c r="CA2" s="435">
        <v>0.0</v>
      </c>
      <c r="CB2" s="435">
        <v>0.0</v>
      </c>
      <c r="CC2" s="435" t="s">
        <v>334</v>
      </c>
      <c r="CD2" s="435">
        <v>98000.0</v>
      </c>
      <c r="CE2" s="435">
        <v>5000.0</v>
      </c>
      <c r="CF2" s="435">
        <v>103000.0</v>
      </c>
      <c r="CG2" s="435">
        <v>-32000.0</v>
      </c>
      <c r="CH2" s="435">
        <v>71000.0</v>
      </c>
      <c r="CI2" s="435">
        <v>0.5071428571428571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29.14"/>
    <col customWidth="1" min="3" max="3" width="29.0"/>
  </cols>
  <sheetData>
    <row r="1">
      <c r="A1" s="438" t="s">
        <v>340</v>
      </c>
      <c r="B1" s="439"/>
      <c r="C1" s="440"/>
    </row>
    <row r="2">
      <c r="A2" s="441" t="s">
        <v>341</v>
      </c>
      <c r="B2" s="442">
        <v>43601.0</v>
      </c>
      <c r="C2" s="443"/>
    </row>
    <row r="3">
      <c r="A3" s="444" t="s">
        <v>342</v>
      </c>
      <c r="B3" s="445"/>
      <c r="C3" s="446"/>
    </row>
    <row r="4">
      <c r="A4" s="447"/>
      <c r="B4" s="448"/>
      <c r="C4" s="449"/>
    </row>
    <row r="5">
      <c r="A5" s="450" t="s">
        <v>73</v>
      </c>
      <c r="B5" s="451"/>
      <c r="C5" s="452"/>
    </row>
    <row r="6">
      <c r="A6" s="453" t="s">
        <v>343</v>
      </c>
      <c r="B6" s="454" t="s">
        <v>344</v>
      </c>
      <c r="C6" s="455"/>
    </row>
    <row r="7">
      <c r="A7" s="444" t="s">
        <v>79</v>
      </c>
      <c r="B7" s="456">
        <v>936.0</v>
      </c>
      <c r="C7" s="446"/>
    </row>
    <row r="8">
      <c r="A8" s="444" t="s">
        <v>345</v>
      </c>
      <c r="B8" s="445">
        <v>1.0</v>
      </c>
      <c r="C8" s="446"/>
    </row>
    <row r="9">
      <c r="A9" s="457" t="s">
        <v>346</v>
      </c>
      <c r="B9" s="445" t="s">
        <v>347</v>
      </c>
      <c r="C9" s="446"/>
    </row>
    <row r="10">
      <c r="A10" s="458" t="s">
        <v>348</v>
      </c>
      <c r="B10" s="448"/>
      <c r="C10" s="449"/>
    </row>
    <row r="11">
      <c r="A11" s="459"/>
      <c r="C11" s="460"/>
    </row>
    <row r="12">
      <c r="A12" s="459"/>
      <c r="C12" s="460"/>
    </row>
    <row r="13">
      <c r="A13" s="461"/>
      <c r="B13" s="462"/>
      <c r="C13" s="463"/>
    </row>
    <row r="14">
      <c r="A14" s="464" t="s">
        <v>104</v>
      </c>
      <c r="B14" s="451"/>
      <c r="C14" s="452"/>
    </row>
    <row r="15">
      <c r="A15" s="465" t="s">
        <v>349</v>
      </c>
      <c r="B15" s="466">
        <v>200000.0</v>
      </c>
      <c r="C15" s="455"/>
    </row>
    <row r="16">
      <c r="A16" s="467" t="s">
        <v>350</v>
      </c>
      <c r="B16" s="468">
        <v>0.0</v>
      </c>
      <c r="C16" s="446"/>
    </row>
    <row r="17">
      <c r="A17" s="467" t="s">
        <v>351</v>
      </c>
      <c r="B17" s="468">
        <v>40000.0</v>
      </c>
      <c r="C17" s="446"/>
    </row>
    <row r="18">
      <c r="A18" s="469" t="s">
        <v>7</v>
      </c>
      <c r="B18" s="468">
        <v>121870.0</v>
      </c>
      <c r="C18" s="446"/>
    </row>
    <row r="19">
      <c r="A19" s="470" t="s">
        <v>352</v>
      </c>
      <c r="B19" s="471">
        <v>6.0</v>
      </c>
      <c r="C19" s="446"/>
    </row>
    <row r="20">
      <c r="A20" s="472" t="s">
        <v>353</v>
      </c>
      <c r="B20" s="473">
        <v>161870.0</v>
      </c>
      <c r="C20" s="446"/>
    </row>
    <row r="21">
      <c r="A21" s="474"/>
      <c r="B21" s="475"/>
      <c r="C21" s="476"/>
    </row>
    <row r="22">
      <c r="A22" s="450" t="s">
        <v>354</v>
      </c>
      <c r="B22" s="451"/>
      <c r="C22" s="452"/>
    </row>
    <row r="23">
      <c r="A23" s="477" t="s">
        <v>355</v>
      </c>
      <c r="B23" s="478">
        <v>1.0</v>
      </c>
      <c r="C23" s="479">
        <v>161870.0</v>
      </c>
    </row>
    <row r="24">
      <c r="A24" s="469" t="s">
        <v>356</v>
      </c>
      <c r="B24" s="480">
        <v>4.0</v>
      </c>
      <c r="C24" s="481">
        <v>6474.8</v>
      </c>
    </row>
    <row r="25">
      <c r="A25" s="469" t="s">
        <v>357</v>
      </c>
      <c r="B25" s="482">
        <v>0.14</v>
      </c>
      <c r="C25" s="481">
        <v>11330.900000000001</v>
      </c>
    </row>
    <row r="26">
      <c r="A26" s="469" t="s">
        <v>358</v>
      </c>
      <c r="B26" s="483"/>
      <c r="C26" s="481">
        <v>1888.4833333333336</v>
      </c>
    </row>
    <row r="27">
      <c r="A27" s="469"/>
      <c r="B27" s="483"/>
      <c r="C27" s="481"/>
    </row>
    <row r="28">
      <c r="A28" s="469" t="s">
        <v>359</v>
      </c>
      <c r="B28" s="478">
        <v>0.0</v>
      </c>
      <c r="C28" s="484">
        <v>0.0</v>
      </c>
    </row>
    <row r="29">
      <c r="A29" s="469" t="s">
        <v>360</v>
      </c>
      <c r="B29" s="480">
        <v>0.0</v>
      </c>
      <c r="C29" s="481">
        <v>0.0</v>
      </c>
    </row>
    <row r="30">
      <c r="A30" s="469" t="s">
        <v>361</v>
      </c>
      <c r="B30" s="482">
        <v>0.0</v>
      </c>
      <c r="C30" s="481">
        <v>0.0</v>
      </c>
    </row>
    <row r="31">
      <c r="A31" s="469" t="s">
        <v>362</v>
      </c>
      <c r="B31" s="483"/>
      <c r="C31" s="481">
        <v>0.0</v>
      </c>
    </row>
    <row r="32">
      <c r="A32" s="469"/>
      <c r="B32" s="483"/>
      <c r="C32" s="481"/>
    </row>
    <row r="33">
      <c r="A33" s="469" t="s">
        <v>363</v>
      </c>
      <c r="B33" s="485">
        <v>0.0</v>
      </c>
      <c r="C33" s="484">
        <v>0.0</v>
      </c>
    </row>
    <row r="34">
      <c r="A34" s="469" t="s">
        <v>364</v>
      </c>
      <c r="B34" s="480">
        <v>0.0</v>
      </c>
      <c r="C34" s="481">
        <v>0.0</v>
      </c>
    </row>
    <row r="35">
      <c r="A35" s="469" t="s">
        <v>365</v>
      </c>
      <c r="B35" s="482">
        <v>0.0</v>
      </c>
      <c r="C35" s="481">
        <v>0.0</v>
      </c>
    </row>
    <row r="36">
      <c r="A36" s="469" t="s">
        <v>366</v>
      </c>
      <c r="B36" s="483"/>
      <c r="C36" s="481">
        <v>0.0</v>
      </c>
    </row>
    <row r="37">
      <c r="A37" s="469" t="s">
        <v>367</v>
      </c>
      <c r="B37" s="483"/>
      <c r="C37" s="481">
        <v>0.0</v>
      </c>
    </row>
    <row r="38">
      <c r="A38" s="469"/>
      <c r="B38" s="483"/>
      <c r="C38" s="481"/>
    </row>
    <row r="39">
      <c r="A39" s="472" t="s">
        <v>368</v>
      </c>
      <c r="B39" s="486"/>
      <c r="C39" s="487">
        <v>17805.7</v>
      </c>
    </row>
    <row r="40">
      <c r="A40" s="488"/>
      <c r="B40" s="475"/>
      <c r="C40" s="476"/>
    </row>
    <row r="41">
      <c r="A41" s="464" t="s">
        <v>142</v>
      </c>
      <c r="B41" s="451"/>
      <c r="C41" s="452"/>
    </row>
    <row r="42">
      <c r="A42" s="489"/>
      <c r="B42" s="490" t="s">
        <v>146</v>
      </c>
      <c r="C42" s="491" t="s">
        <v>64</v>
      </c>
    </row>
    <row r="43">
      <c r="A43" s="467" t="s">
        <v>11</v>
      </c>
      <c r="B43" s="492">
        <v>1200.0</v>
      </c>
      <c r="C43" s="481">
        <v>100.0</v>
      </c>
    </row>
    <row r="44">
      <c r="A44" s="467" t="s">
        <v>12</v>
      </c>
      <c r="B44" s="492">
        <v>0.0</v>
      </c>
      <c r="C44" s="481">
        <v>0.0</v>
      </c>
    </row>
    <row r="45">
      <c r="A45" s="467" t="s">
        <v>13</v>
      </c>
      <c r="B45" s="492">
        <v>1050.0</v>
      </c>
      <c r="C45" s="481">
        <v>87.5</v>
      </c>
    </row>
    <row r="46">
      <c r="A46" s="467" t="s">
        <v>14</v>
      </c>
      <c r="B46" s="492"/>
      <c r="C46" s="481"/>
    </row>
    <row r="47">
      <c r="A47" s="493" t="s">
        <v>24</v>
      </c>
      <c r="B47" s="492"/>
      <c r="C47" s="481">
        <v>75.0</v>
      </c>
    </row>
    <row r="48">
      <c r="A48" s="493" t="s">
        <v>25</v>
      </c>
      <c r="B48" s="492"/>
      <c r="C48" s="481">
        <v>75.0</v>
      </c>
    </row>
    <row r="49">
      <c r="A49" s="493" t="s">
        <v>26</v>
      </c>
      <c r="B49" s="492"/>
      <c r="C49" s="481">
        <v>50.0</v>
      </c>
    </row>
    <row r="50">
      <c r="A50" s="493" t="s">
        <v>27</v>
      </c>
      <c r="B50" s="492"/>
      <c r="C50" s="481">
        <v>0.0</v>
      </c>
    </row>
    <row r="51">
      <c r="A51" s="467" t="s">
        <v>369</v>
      </c>
      <c r="B51" s="483"/>
      <c r="C51" s="481">
        <v>200.0</v>
      </c>
    </row>
    <row r="52">
      <c r="A52" s="467" t="s">
        <v>171</v>
      </c>
      <c r="B52" s="483"/>
      <c r="C52" s="481">
        <v>0.0</v>
      </c>
    </row>
    <row r="53">
      <c r="A53" s="472" t="s">
        <v>370</v>
      </c>
      <c r="B53" s="494"/>
      <c r="C53" s="495">
        <v>387.5</v>
      </c>
    </row>
    <row r="54">
      <c r="A54" s="496"/>
      <c r="B54" s="475"/>
      <c r="C54" s="476"/>
    </row>
    <row r="55">
      <c r="A55" s="464" t="s">
        <v>179</v>
      </c>
      <c r="B55" s="451"/>
      <c r="C55" s="452"/>
    </row>
    <row r="56">
      <c r="A56" s="489"/>
      <c r="B56" s="497" t="s">
        <v>371</v>
      </c>
      <c r="C56" s="491" t="s">
        <v>183</v>
      </c>
    </row>
    <row r="57">
      <c r="A57" s="469" t="s">
        <v>28</v>
      </c>
      <c r="B57" s="498"/>
      <c r="C57" s="499">
        <v>900.0</v>
      </c>
    </row>
    <row r="58">
      <c r="A58" s="469" t="s">
        <v>188</v>
      </c>
      <c r="B58" s="498">
        <v>0.0025</v>
      </c>
      <c r="C58" s="499">
        <v>804.675</v>
      </c>
    </row>
    <row r="59">
      <c r="A59" s="469" t="s">
        <v>31</v>
      </c>
      <c r="B59" s="500"/>
      <c r="C59" s="499">
        <v>0.0</v>
      </c>
    </row>
    <row r="60">
      <c r="A60" s="472" t="s">
        <v>372</v>
      </c>
      <c r="B60" s="486"/>
      <c r="C60" s="501">
        <v>1704.675</v>
      </c>
    </row>
    <row r="61">
      <c r="A61" s="496"/>
      <c r="B61" s="475"/>
      <c r="C61" s="476"/>
    </row>
    <row r="62">
      <c r="A62" s="464" t="s">
        <v>193</v>
      </c>
      <c r="B62" s="451"/>
      <c r="C62" s="452"/>
    </row>
    <row r="63">
      <c r="A63" s="465"/>
      <c r="B63" s="497" t="s">
        <v>371</v>
      </c>
      <c r="C63" s="502" t="s">
        <v>183</v>
      </c>
    </row>
    <row r="64">
      <c r="A64" s="469" t="s">
        <v>28</v>
      </c>
      <c r="B64" s="498"/>
      <c r="C64" s="503">
        <v>1300.0</v>
      </c>
    </row>
    <row r="65">
      <c r="A65" s="469" t="s">
        <v>32</v>
      </c>
      <c r="B65" s="482">
        <v>0.005</v>
      </c>
      <c r="C65" s="481">
        <v>1000.0</v>
      </c>
    </row>
    <row r="66">
      <c r="A66" s="469" t="s">
        <v>34</v>
      </c>
      <c r="B66" s="482">
        <v>0.0</v>
      </c>
      <c r="C66" s="481">
        <v>0.0</v>
      </c>
    </row>
    <row r="67">
      <c r="A67" s="469" t="s">
        <v>35</v>
      </c>
      <c r="B67" s="482">
        <v>0.015</v>
      </c>
      <c r="C67" s="481">
        <v>3000.0</v>
      </c>
    </row>
    <row r="68">
      <c r="A68" s="469" t="s">
        <v>36</v>
      </c>
      <c r="B68" s="500"/>
      <c r="C68" s="503">
        <v>0.0</v>
      </c>
    </row>
    <row r="69">
      <c r="A69" s="469" t="s">
        <v>19</v>
      </c>
      <c r="B69" s="500"/>
      <c r="C69" s="503">
        <v>0.0</v>
      </c>
    </row>
    <row r="70">
      <c r="A70" s="469" t="s">
        <v>20</v>
      </c>
      <c r="B70" s="500"/>
      <c r="C70" s="503">
        <v>0.0</v>
      </c>
    </row>
    <row r="71">
      <c r="A71" s="469" t="s">
        <v>21</v>
      </c>
      <c r="B71" s="500"/>
      <c r="C71" s="499">
        <v>0.0</v>
      </c>
    </row>
    <row r="72">
      <c r="A72" s="504" t="s">
        <v>373</v>
      </c>
      <c r="B72" s="505"/>
      <c r="C72" s="506">
        <v>5300.0</v>
      </c>
    </row>
    <row r="73">
      <c r="A73" s="507"/>
      <c r="B73" s="508"/>
      <c r="C73" s="508"/>
    </row>
    <row r="74">
      <c r="A74" s="509"/>
      <c r="B74" s="509"/>
      <c r="C74" s="509"/>
    </row>
    <row r="75">
      <c r="A75" s="510" t="s">
        <v>374</v>
      </c>
      <c r="B75" s="511"/>
      <c r="C75" s="512"/>
    </row>
    <row r="76">
      <c r="A76" s="513" t="s">
        <v>107</v>
      </c>
      <c r="B76" s="514"/>
      <c r="C76" s="515"/>
    </row>
    <row r="77">
      <c r="A77" s="516" t="s">
        <v>375</v>
      </c>
      <c r="B77" s="517">
        <v>200000.0</v>
      </c>
      <c r="C77" s="518"/>
    </row>
    <row r="78">
      <c r="A78" s="519" t="s">
        <v>7</v>
      </c>
      <c r="B78" s="520">
        <v>121870.0</v>
      </c>
      <c r="C78" s="521"/>
    </row>
    <row r="79">
      <c r="A79" s="519" t="s">
        <v>351</v>
      </c>
      <c r="B79" s="520">
        <v>40000.0</v>
      </c>
      <c r="C79" s="521"/>
    </row>
    <row r="80">
      <c r="A80" s="519" t="s">
        <v>376</v>
      </c>
      <c r="B80" s="520">
        <v>17805.7</v>
      </c>
      <c r="C80" s="521"/>
    </row>
    <row r="81">
      <c r="A81" s="519" t="s">
        <v>123</v>
      </c>
      <c r="B81" s="520">
        <v>2325.0</v>
      </c>
      <c r="C81" s="521"/>
    </row>
    <row r="82">
      <c r="A82" s="519" t="s">
        <v>377</v>
      </c>
      <c r="B82" s="520">
        <v>1704.675</v>
      </c>
      <c r="C82" s="521"/>
    </row>
    <row r="83">
      <c r="A83" s="519" t="s">
        <v>378</v>
      </c>
      <c r="B83" s="522">
        <v>5300.0</v>
      </c>
      <c r="C83" s="523"/>
    </row>
    <row r="84">
      <c r="A84" s="524"/>
      <c r="B84" s="15"/>
      <c r="C84" s="525"/>
    </row>
    <row r="85">
      <c r="A85" s="526" t="s">
        <v>379</v>
      </c>
      <c r="B85" s="527">
        <v>10994.625</v>
      </c>
      <c r="C85" s="528"/>
    </row>
    <row r="86">
      <c r="A86" s="507"/>
      <c r="B86" s="508"/>
      <c r="C86" s="508"/>
    </row>
    <row r="87">
      <c r="A87" s="529" t="s">
        <v>380</v>
      </c>
      <c r="B87" s="511"/>
      <c r="C87" s="512"/>
    </row>
    <row r="88">
      <c r="A88" s="513" t="s">
        <v>381</v>
      </c>
      <c r="B88" s="514"/>
      <c r="C88" s="515"/>
    </row>
    <row r="89">
      <c r="A89" s="530" t="s">
        <v>382</v>
      </c>
      <c r="B89" s="531">
        <v>43781.0</v>
      </c>
      <c r="C89" s="532"/>
    </row>
    <row r="90">
      <c r="A90" s="533" t="s">
        <v>383</v>
      </c>
      <c r="B90" s="534">
        <v>172.93803418803418</v>
      </c>
      <c r="C90" s="521"/>
    </row>
    <row r="91">
      <c r="A91" s="519" t="s">
        <v>384</v>
      </c>
      <c r="B91" s="535"/>
      <c r="C91" s="521"/>
    </row>
    <row r="92">
      <c r="A92" s="533" t="s">
        <v>385</v>
      </c>
      <c r="B92" s="535">
        <v>10504.474999999977</v>
      </c>
      <c r="C92" s="521"/>
    </row>
    <row r="93">
      <c r="A93" s="536" t="s">
        <v>386</v>
      </c>
      <c r="B93" s="537">
        <v>0.0679225613146352</v>
      </c>
      <c r="C93" s="538"/>
    </row>
    <row r="94">
      <c r="A94" s="539"/>
      <c r="B94" s="540"/>
      <c r="C94" s="541"/>
    </row>
    <row r="95">
      <c r="A95" s="542" t="s">
        <v>387</v>
      </c>
      <c r="B95" s="543">
        <v>0.05817096471462783</v>
      </c>
      <c r="C95" s="528"/>
    </row>
  </sheetData>
  <mergeCells count="47">
    <mergeCell ref="A1:C1"/>
    <mergeCell ref="B2:C2"/>
    <mergeCell ref="B3:C3"/>
    <mergeCell ref="A4:C4"/>
    <mergeCell ref="A5:C5"/>
    <mergeCell ref="B6:C6"/>
    <mergeCell ref="B7:C7"/>
    <mergeCell ref="B8:C8"/>
    <mergeCell ref="B9:C9"/>
    <mergeCell ref="A10:C13"/>
    <mergeCell ref="A14:C14"/>
    <mergeCell ref="B15:C15"/>
    <mergeCell ref="B16:C16"/>
    <mergeCell ref="B17:C17"/>
    <mergeCell ref="B18:C18"/>
    <mergeCell ref="B19:C19"/>
    <mergeCell ref="B20:C20"/>
    <mergeCell ref="A21:C21"/>
    <mergeCell ref="A22:C22"/>
    <mergeCell ref="A40:C40"/>
    <mergeCell ref="A41:C41"/>
    <mergeCell ref="A54:C54"/>
    <mergeCell ref="A55:C55"/>
    <mergeCell ref="A61:C61"/>
    <mergeCell ref="A62:C62"/>
    <mergeCell ref="A73:C73"/>
    <mergeCell ref="A75:C75"/>
    <mergeCell ref="A76:C76"/>
    <mergeCell ref="B77:C77"/>
    <mergeCell ref="B78:C78"/>
    <mergeCell ref="B79:C79"/>
    <mergeCell ref="B80:C80"/>
    <mergeCell ref="B81:C81"/>
    <mergeCell ref="B82:C82"/>
    <mergeCell ref="B83:C83"/>
    <mergeCell ref="B91:C91"/>
    <mergeCell ref="B92:C92"/>
    <mergeCell ref="B93:C93"/>
    <mergeCell ref="A94:C94"/>
    <mergeCell ref="B95:C95"/>
    <mergeCell ref="A84:C84"/>
    <mergeCell ref="B85:C85"/>
    <mergeCell ref="A86:C86"/>
    <mergeCell ref="A87:C87"/>
    <mergeCell ref="A88:C88"/>
    <mergeCell ref="B89:C89"/>
    <mergeCell ref="B90:C90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27.0"/>
    <col customWidth="1" min="3" max="3" width="26.86"/>
    <col customWidth="1" min="4" max="4" width="31.43"/>
    <col customWidth="1" hidden="1" min="5" max="5" width="56.57"/>
    <col customWidth="1" hidden="1" min="6" max="23" width="9.14"/>
    <col customWidth="1" hidden="1" min="24" max="26" width="8.71"/>
  </cols>
  <sheetData>
    <row r="1" ht="69.75" customHeight="1">
      <c r="A1" s="544" t="s">
        <v>340</v>
      </c>
      <c r="B1" s="439"/>
      <c r="C1" s="440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</row>
    <row r="2" ht="69.75" customHeight="1">
      <c r="A2" s="546" t="s">
        <v>341</v>
      </c>
      <c r="B2" s="547">
        <f>today()</f>
        <v>46279</v>
      </c>
      <c r="C2" s="443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</row>
    <row r="3" ht="18.0" customHeight="1">
      <c r="A3" s="548" t="s">
        <v>342</v>
      </c>
      <c r="B3" s="549"/>
      <c r="C3" s="446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</row>
    <row r="4" ht="16.5" customHeight="1">
      <c r="A4" s="550"/>
      <c r="B4" s="448"/>
      <c r="C4" s="449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545"/>
      <c r="T4" s="545"/>
      <c r="U4" s="545"/>
      <c r="V4" s="545"/>
    </row>
    <row r="5" ht="18.0" customHeight="1">
      <c r="A5" s="551" t="s">
        <v>73</v>
      </c>
      <c r="B5" s="451"/>
      <c r="C5" s="452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</row>
    <row r="6" ht="36.0" customHeight="1">
      <c r="A6" s="552" t="s">
        <v>343</v>
      </c>
      <c r="B6" s="553" t="s">
        <v>388</v>
      </c>
      <c r="C6" s="455"/>
      <c r="D6" s="545"/>
      <c r="E6" s="48" t="s">
        <v>389</v>
      </c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</row>
    <row r="7" ht="16.5" customHeight="1">
      <c r="A7" s="548" t="s">
        <v>79</v>
      </c>
      <c r="B7" s="554">
        <v>1000.0</v>
      </c>
      <c r="C7" s="446"/>
      <c r="D7" s="545"/>
      <c r="E7" s="555" t="s">
        <v>421</v>
      </c>
      <c r="F7" s="545"/>
      <c r="G7" s="545"/>
      <c r="H7" s="545"/>
      <c r="I7" s="545"/>
      <c r="J7" s="545"/>
      <c r="K7" s="545"/>
      <c r="L7" s="545"/>
      <c r="M7" s="545"/>
      <c r="N7" s="545"/>
      <c r="O7" s="545"/>
      <c r="P7" s="545"/>
      <c r="Q7" s="545"/>
      <c r="R7" s="545"/>
      <c r="S7" s="545"/>
      <c r="T7" s="545"/>
      <c r="U7" s="545"/>
      <c r="V7" s="545"/>
      <c r="W7" s="545"/>
    </row>
    <row r="8" ht="16.5" customHeight="1">
      <c r="A8" s="548" t="s">
        <v>345</v>
      </c>
      <c r="B8" s="549">
        <v>1.0</v>
      </c>
      <c r="C8" s="446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</row>
    <row r="9" ht="16.5" customHeight="1">
      <c r="A9" s="556" t="s">
        <v>346</v>
      </c>
      <c r="B9" s="549" t="s">
        <v>347</v>
      </c>
      <c r="C9" s="446"/>
      <c r="D9" s="545"/>
      <c r="E9" s="545"/>
      <c r="F9" s="545"/>
      <c r="G9" s="545"/>
      <c r="H9" s="545"/>
      <c r="I9" s="545"/>
      <c r="J9" s="545"/>
      <c r="K9" s="545"/>
      <c r="L9" s="545"/>
      <c r="M9" s="545"/>
      <c r="N9" s="545"/>
      <c r="O9" s="545"/>
      <c r="P9" s="545"/>
      <c r="Q9" s="545"/>
      <c r="R9" s="545"/>
      <c r="S9" s="545"/>
      <c r="T9" s="545"/>
      <c r="U9" s="545"/>
      <c r="V9" s="545"/>
      <c r="W9" s="545"/>
    </row>
    <row r="10" ht="16.5" customHeight="1">
      <c r="A10" s="559" t="s">
        <v>423</v>
      </c>
      <c r="B10" s="448"/>
      <c r="C10" s="449"/>
      <c r="D10" s="545"/>
      <c r="E10" s="545"/>
      <c r="F10" s="545"/>
      <c r="G10" s="545"/>
      <c r="H10" s="545"/>
      <c r="I10" s="545"/>
      <c r="J10" s="545"/>
      <c r="K10" s="545"/>
      <c r="L10" s="545"/>
      <c r="M10" s="545"/>
      <c r="N10" s="545"/>
      <c r="O10" s="545"/>
      <c r="P10" s="545"/>
      <c r="Q10" s="545"/>
      <c r="R10" s="545"/>
      <c r="S10" s="545"/>
      <c r="T10" s="545"/>
      <c r="U10" s="545"/>
      <c r="V10" s="545"/>
      <c r="W10" s="545"/>
    </row>
    <row r="11" ht="16.5" customHeight="1">
      <c r="A11" s="459"/>
      <c r="C11" s="460"/>
      <c r="D11" s="545"/>
      <c r="E11" s="545"/>
      <c r="F11" s="545"/>
      <c r="G11" s="545"/>
      <c r="H11" s="545"/>
      <c r="I11" s="545"/>
      <c r="J11" s="545"/>
      <c r="K11" s="545"/>
      <c r="L11" s="545"/>
      <c r="M11" s="545"/>
      <c r="N11" s="545"/>
      <c r="O11" s="545"/>
      <c r="P11" s="545"/>
      <c r="Q11" s="545"/>
      <c r="R11" s="545"/>
      <c r="S11" s="545"/>
      <c r="T11" s="545"/>
      <c r="U11" s="545"/>
      <c r="V11" s="545"/>
      <c r="W11" s="545"/>
    </row>
    <row r="12" ht="16.5" customHeight="1">
      <c r="A12" s="459"/>
      <c r="C12" s="460"/>
      <c r="D12" s="545"/>
      <c r="E12" s="545"/>
      <c r="F12" s="545"/>
      <c r="G12" s="545"/>
      <c r="H12" s="545"/>
      <c r="I12" s="545"/>
      <c r="J12" s="545"/>
      <c r="K12" s="545"/>
      <c r="L12" s="545"/>
      <c r="M12" s="545"/>
      <c r="N12" s="545"/>
      <c r="O12" s="545"/>
      <c r="P12" s="545"/>
      <c r="Q12" s="545"/>
      <c r="R12" s="545"/>
      <c r="S12" s="545"/>
      <c r="T12" s="545"/>
      <c r="U12" s="545"/>
      <c r="V12" s="545"/>
      <c r="W12" s="545"/>
    </row>
    <row r="13" ht="16.5" customHeight="1">
      <c r="A13" s="461"/>
      <c r="B13" s="462"/>
      <c r="C13" s="463"/>
      <c r="D13" s="545"/>
      <c r="E13" s="545"/>
      <c r="F13" s="545"/>
      <c r="G13" s="545"/>
      <c r="H13" s="545"/>
      <c r="I13" s="545"/>
      <c r="J13" s="545"/>
      <c r="K13" s="545"/>
      <c r="L13" s="545"/>
      <c r="M13" s="545"/>
      <c r="N13" s="545"/>
      <c r="O13" s="545"/>
      <c r="P13" s="545"/>
      <c r="Q13" s="545"/>
      <c r="R13" s="545"/>
      <c r="S13" s="545"/>
      <c r="T13" s="545"/>
      <c r="U13" s="545"/>
      <c r="V13" s="545"/>
      <c r="W13" s="545"/>
    </row>
    <row r="14" ht="18.0" customHeight="1">
      <c r="A14" s="569" t="s">
        <v>104</v>
      </c>
      <c r="B14" s="451"/>
      <c r="C14" s="452"/>
      <c r="D14" s="545"/>
      <c r="E14" s="545"/>
      <c r="F14" s="545"/>
      <c r="G14" s="545"/>
      <c r="H14" s="545"/>
      <c r="I14" s="545"/>
      <c r="J14" s="545"/>
      <c r="K14" s="545"/>
      <c r="L14" s="545"/>
      <c r="M14" s="545"/>
      <c r="N14" s="545"/>
      <c r="O14" s="545"/>
      <c r="P14" s="545"/>
      <c r="Q14" s="545"/>
      <c r="R14" s="545"/>
      <c r="S14" s="545"/>
      <c r="T14" s="545"/>
      <c r="U14" s="545"/>
      <c r="V14" s="545"/>
      <c r="W14" s="545"/>
    </row>
    <row r="15" ht="42.0" customHeight="1">
      <c r="A15" s="575" t="s">
        <v>349</v>
      </c>
      <c r="B15" s="584">
        <v>180000.0</v>
      </c>
      <c r="C15" s="455"/>
      <c r="D15" s="545"/>
      <c r="E15" s="545"/>
      <c r="F15" s="545"/>
      <c r="G15" s="545"/>
      <c r="H15" s="545"/>
      <c r="I15" s="545"/>
      <c r="J15" s="545"/>
      <c r="K15" s="545"/>
      <c r="L15" s="545"/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5"/>
    </row>
    <row r="16" ht="16.5" customHeight="1">
      <c r="A16" s="590" t="s">
        <v>350</v>
      </c>
      <c r="B16" s="594">
        <v>0.0</v>
      </c>
      <c r="C16" s="446"/>
      <c r="D16" s="545"/>
      <c r="E16" s="545"/>
      <c r="F16" s="545"/>
      <c r="G16" s="545"/>
      <c r="H16" s="545"/>
      <c r="I16" s="545"/>
      <c r="J16" s="545"/>
      <c r="K16" s="545"/>
      <c r="L16" s="545"/>
      <c r="M16" s="545"/>
      <c r="N16" s="545"/>
      <c r="O16" s="545"/>
      <c r="P16" s="545"/>
      <c r="Q16" s="545"/>
      <c r="R16" s="545"/>
      <c r="S16" s="545"/>
      <c r="T16" s="545"/>
      <c r="U16" s="545"/>
      <c r="V16" s="545"/>
      <c r="W16" s="545"/>
    </row>
    <row r="17" ht="16.5" customHeight="1">
      <c r="A17" s="590" t="s">
        <v>351</v>
      </c>
      <c r="B17" s="594">
        <v>15950.0</v>
      </c>
      <c r="C17" s="446"/>
      <c r="D17" s="545"/>
      <c r="E17" s="555" t="s">
        <v>447</v>
      </c>
      <c r="F17" s="545"/>
      <c r="G17" s="545"/>
      <c r="H17" s="545"/>
      <c r="I17" s="545"/>
      <c r="J17" s="545"/>
      <c r="K17" s="545"/>
      <c r="L17" s="545"/>
      <c r="M17" s="545"/>
      <c r="N17" s="545"/>
      <c r="O17" s="545"/>
      <c r="P17" s="545"/>
      <c r="Q17" s="545"/>
      <c r="R17" s="545"/>
      <c r="S17" s="545"/>
      <c r="T17" s="545"/>
      <c r="U17" s="545"/>
      <c r="V17" s="545"/>
      <c r="W17" s="545"/>
    </row>
    <row r="18" ht="16.5" customHeight="1">
      <c r="A18" s="600" t="s">
        <v>7</v>
      </c>
      <c r="B18" s="601">
        <v>130450.0</v>
      </c>
      <c r="C18" s="446"/>
      <c r="D18" s="545"/>
      <c r="E18" s="545"/>
      <c r="F18" s="545"/>
      <c r="G18" s="545"/>
      <c r="H18" s="545"/>
      <c r="I18" s="545"/>
      <c r="J18" s="545"/>
      <c r="K18" s="545"/>
      <c r="L18" s="545"/>
      <c r="M18" s="545"/>
      <c r="N18" s="545"/>
      <c r="O18" s="545"/>
      <c r="P18" s="545"/>
      <c r="Q18" s="545"/>
      <c r="R18" s="545"/>
      <c r="S18" s="545"/>
      <c r="T18" s="545"/>
      <c r="U18" s="545"/>
      <c r="V18" s="545"/>
      <c r="W18" s="545"/>
    </row>
    <row r="19" ht="16.5" customHeight="1">
      <c r="A19" s="606" t="s">
        <v>352</v>
      </c>
      <c r="B19" s="609">
        <v>6.0</v>
      </c>
      <c r="C19" s="446"/>
      <c r="D19" s="545"/>
      <c r="E19" s="545"/>
      <c r="F19" s="545"/>
      <c r="G19" s="545"/>
      <c r="H19" s="545"/>
      <c r="I19" s="545"/>
      <c r="J19" s="545"/>
      <c r="K19" s="545"/>
      <c r="L19" s="545"/>
      <c r="M19" s="545"/>
      <c r="N19" s="545"/>
      <c r="O19" s="545"/>
      <c r="P19" s="545"/>
      <c r="Q19" s="545"/>
      <c r="R19" s="545"/>
      <c r="S19" s="545"/>
      <c r="T19" s="545"/>
      <c r="U19" s="545"/>
      <c r="V19" s="545"/>
      <c r="W19" s="545"/>
    </row>
    <row r="20" ht="16.5" customHeight="1">
      <c r="A20" s="617" t="s">
        <v>353</v>
      </c>
      <c r="B20" s="622">
        <f>B17+B18</f>
        <v>146400</v>
      </c>
      <c r="C20" s="446"/>
      <c r="D20" s="545"/>
      <c r="E20" s="545"/>
      <c r="F20" s="545"/>
      <c r="G20" s="545"/>
      <c r="H20" s="545"/>
      <c r="I20" s="545"/>
      <c r="J20" s="545"/>
      <c r="K20" s="545"/>
      <c r="L20" s="545"/>
      <c r="M20" s="545"/>
      <c r="N20" s="545"/>
      <c r="O20" s="545"/>
      <c r="P20" s="545"/>
      <c r="Q20" s="545"/>
      <c r="R20" s="545"/>
      <c r="S20" s="545"/>
      <c r="T20" s="545"/>
      <c r="U20" s="545"/>
      <c r="V20" s="545"/>
      <c r="W20" s="545"/>
    </row>
    <row r="21" ht="24.75" customHeight="1">
      <c r="A21" s="626"/>
      <c r="B21" s="475"/>
      <c r="C21" s="476"/>
      <c r="D21" s="545"/>
      <c r="E21" s="545"/>
      <c r="F21" s="545"/>
      <c r="G21" s="545"/>
      <c r="H21" s="545"/>
      <c r="I21" s="545"/>
      <c r="J21" s="545"/>
      <c r="K21" s="545"/>
      <c r="L21" s="545"/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5"/>
    </row>
    <row r="22" ht="18.0" customHeight="1">
      <c r="A22" s="551" t="s">
        <v>496</v>
      </c>
      <c r="B22" s="451"/>
      <c r="C22" s="452"/>
      <c r="D22" s="545"/>
      <c r="E22" s="545"/>
      <c r="F22" s="545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</row>
    <row r="23" ht="36.0" customHeight="1">
      <c r="A23" s="630" t="s">
        <v>355</v>
      </c>
      <c r="B23" s="631">
        <v>1.0</v>
      </c>
      <c r="C23" s="633">
        <f>B20</f>
        <v>146400</v>
      </c>
      <c r="D23" s="545"/>
      <c r="E23" s="545"/>
      <c r="F23" s="545"/>
      <c r="G23" s="545"/>
      <c r="H23" s="545"/>
      <c r="I23" s="545"/>
      <c r="J23" s="545"/>
      <c r="K23" s="545"/>
      <c r="L23" s="545"/>
      <c r="M23" s="545"/>
      <c r="N23" s="545"/>
      <c r="O23" s="545"/>
      <c r="P23" s="545"/>
      <c r="Q23" s="545"/>
      <c r="R23" s="545"/>
      <c r="S23" s="545"/>
      <c r="T23" s="545"/>
      <c r="U23" s="545"/>
      <c r="V23" s="545"/>
      <c r="W23" s="545"/>
    </row>
    <row r="24" ht="16.5" customHeight="1">
      <c r="A24" s="634" t="s">
        <v>356</v>
      </c>
      <c r="B24" s="635">
        <v>4.0</v>
      </c>
      <c r="C24" s="636">
        <f>B24/100*C23</f>
        <v>5856</v>
      </c>
      <c r="D24" s="545"/>
      <c r="E24" s="545"/>
      <c r="F24" s="545"/>
      <c r="G24" s="545"/>
      <c r="H24" s="545"/>
      <c r="I24" s="545"/>
      <c r="J24" s="545"/>
      <c r="K24" s="545"/>
      <c r="L24" s="545"/>
      <c r="M24" s="545"/>
      <c r="N24" s="545"/>
      <c r="O24" s="545"/>
      <c r="P24" s="545"/>
      <c r="Q24" s="545"/>
      <c r="R24" s="545"/>
      <c r="S24" s="545"/>
      <c r="T24" s="545"/>
      <c r="U24" s="545"/>
      <c r="V24" s="545"/>
      <c r="W24" s="545"/>
    </row>
    <row r="25" ht="16.5" customHeight="1">
      <c r="A25" s="634" t="s">
        <v>357</v>
      </c>
      <c r="B25" s="638">
        <v>0.14</v>
      </c>
      <c r="C25" s="636">
        <f>C23*B25/12*B19</f>
        <v>10248</v>
      </c>
      <c r="D25" s="545"/>
      <c r="E25" s="545"/>
      <c r="F25" s="545"/>
      <c r="G25" s="545"/>
      <c r="H25" s="545"/>
      <c r="I25" s="545"/>
      <c r="J25" s="545"/>
      <c r="K25" s="545"/>
      <c r="L25" s="545"/>
      <c r="M25" s="545"/>
      <c r="N25" s="545"/>
      <c r="O25" s="545"/>
      <c r="P25" s="545"/>
      <c r="Q25" s="545"/>
      <c r="R25" s="545"/>
      <c r="S25" s="545"/>
      <c r="T25" s="545"/>
      <c r="U25" s="545"/>
      <c r="V25" s="545"/>
      <c r="W25" s="545"/>
    </row>
    <row r="26" ht="16.5" customHeight="1">
      <c r="A26" s="634" t="s">
        <v>358</v>
      </c>
      <c r="B26" s="642"/>
      <c r="C26" s="636">
        <f>C25/B19</f>
        <v>1708</v>
      </c>
      <c r="D26" s="545"/>
      <c r="E26" s="545"/>
      <c r="F26" s="545"/>
      <c r="G26" s="545"/>
      <c r="H26" s="545"/>
      <c r="I26" s="545"/>
      <c r="J26" s="545"/>
      <c r="K26" s="545"/>
      <c r="L26" s="545"/>
      <c r="M26" s="545"/>
      <c r="N26" s="545"/>
      <c r="O26" s="545"/>
      <c r="P26" s="545"/>
      <c r="Q26" s="545"/>
      <c r="R26" s="545"/>
      <c r="S26" s="545"/>
      <c r="T26" s="545"/>
      <c r="U26" s="545"/>
      <c r="V26" s="545"/>
      <c r="W26" s="545"/>
    </row>
    <row r="27" ht="16.5" customHeight="1">
      <c r="A27" s="634"/>
      <c r="B27" s="642"/>
      <c r="C27" s="636"/>
      <c r="D27" s="545"/>
      <c r="E27" s="545"/>
      <c r="F27" s="545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5"/>
    </row>
    <row r="28" ht="16.5" customHeight="1">
      <c r="A28" s="634" t="s">
        <v>359</v>
      </c>
      <c r="B28" s="631">
        <v>0.0</v>
      </c>
      <c r="C28" s="648">
        <v>0.0</v>
      </c>
      <c r="D28" s="545"/>
      <c r="E28" s="545"/>
      <c r="F28" s="545"/>
      <c r="G28" s="545"/>
      <c r="H28" s="545"/>
      <c r="I28" s="545"/>
      <c r="J28" s="545"/>
      <c r="K28" s="545"/>
      <c r="L28" s="545"/>
      <c r="M28" s="545"/>
      <c r="N28" s="545"/>
      <c r="O28" s="545"/>
      <c r="P28" s="545"/>
      <c r="Q28" s="545"/>
      <c r="R28" s="545"/>
      <c r="S28" s="545"/>
      <c r="T28" s="545"/>
      <c r="U28" s="545"/>
      <c r="V28" s="545"/>
      <c r="W28" s="545"/>
    </row>
    <row r="29" ht="16.5" customHeight="1">
      <c r="A29" s="634" t="s">
        <v>360</v>
      </c>
      <c r="B29" s="635">
        <v>0.0</v>
      </c>
      <c r="C29" s="636">
        <f>B29/100*C28</f>
        <v>0</v>
      </c>
      <c r="D29" s="545"/>
      <c r="E29" s="545"/>
      <c r="F29" s="545"/>
      <c r="G29" s="545"/>
      <c r="H29" s="545"/>
      <c r="I29" s="545"/>
      <c r="J29" s="545"/>
      <c r="K29" s="545"/>
      <c r="L29" s="545"/>
      <c r="M29" s="545"/>
      <c r="N29" s="545"/>
      <c r="O29" s="545"/>
      <c r="P29" s="545"/>
      <c r="Q29" s="545"/>
      <c r="R29" s="545"/>
      <c r="S29" s="545"/>
      <c r="T29" s="545"/>
      <c r="U29" s="545"/>
      <c r="V29" s="545"/>
      <c r="W29" s="545"/>
    </row>
    <row r="30" ht="16.5" customHeight="1">
      <c r="A30" s="634" t="s">
        <v>361</v>
      </c>
      <c r="B30" s="638">
        <v>0.0</v>
      </c>
      <c r="C30" s="636">
        <f>C28*B30/12*B19</f>
        <v>0</v>
      </c>
      <c r="D30" s="545"/>
      <c r="E30" s="545"/>
      <c r="F30" s="545"/>
      <c r="G30" s="545"/>
      <c r="H30" s="545"/>
      <c r="I30" s="545"/>
      <c r="J30" s="545"/>
      <c r="K30" s="545"/>
      <c r="L30" s="545"/>
      <c r="M30" s="545"/>
      <c r="N30" s="545"/>
      <c r="O30" s="545"/>
      <c r="P30" s="545"/>
      <c r="Q30" s="545"/>
      <c r="R30" s="545"/>
      <c r="S30" s="545"/>
      <c r="T30" s="545"/>
      <c r="U30" s="545"/>
      <c r="V30" s="545"/>
      <c r="W30" s="545"/>
    </row>
    <row r="31" ht="16.5" customHeight="1">
      <c r="A31" s="634" t="s">
        <v>362</v>
      </c>
      <c r="B31" s="642"/>
      <c r="C31" s="636">
        <f>C30/B19</f>
        <v>0</v>
      </c>
      <c r="D31" s="545"/>
      <c r="E31" s="545"/>
      <c r="F31" s="545"/>
      <c r="G31" s="545"/>
      <c r="H31" s="545"/>
      <c r="I31" s="545"/>
      <c r="J31" s="545"/>
      <c r="K31" s="545"/>
      <c r="L31" s="545"/>
      <c r="M31" s="545"/>
      <c r="N31" s="545"/>
      <c r="O31" s="545"/>
      <c r="P31" s="545"/>
      <c r="Q31" s="545"/>
      <c r="R31" s="545"/>
      <c r="S31" s="545"/>
      <c r="T31" s="545"/>
      <c r="U31" s="545"/>
      <c r="V31" s="545"/>
      <c r="W31" s="545"/>
    </row>
    <row r="32" ht="16.5" customHeight="1">
      <c r="A32" s="634"/>
      <c r="B32" s="642"/>
      <c r="C32" s="636"/>
      <c r="D32" s="545"/>
      <c r="E32" s="545"/>
      <c r="F32" s="545"/>
      <c r="G32" s="545"/>
      <c r="H32" s="545"/>
      <c r="I32" s="545"/>
      <c r="J32" s="545"/>
      <c r="K32" s="545"/>
      <c r="L32" s="545"/>
      <c r="M32" s="545"/>
      <c r="N32" s="545"/>
      <c r="O32" s="545"/>
      <c r="P32" s="545"/>
      <c r="Q32" s="545"/>
      <c r="R32" s="545"/>
      <c r="S32" s="545"/>
      <c r="T32" s="545"/>
      <c r="U32" s="545"/>
      <c r="V32" s="545"/>
      <c r="W32" s="545"/>
    </row>
    <row r="33" ht="16.5" customHeight="1">
      <c r="A33" s="634" t="s">
        <v>363</v>
      </c>
      <c r="B33" s="662">
        <v>0.0</v>
      </c>
      <c r="C33" s="648">
        <v>0.0</v>
      </c>
      <c r="D33" s="545"/>
      <c r="E33" s="545"/>
      <c r="F33" s="545"/>
      <c r="G33" s="545"/>
      <c r="H33" s="545"/>
      <c r="I33" s="545"/>
      <c r="J33" s="545"/>
      <c r="K33" s="545"/>
      <c r="L33" s="545"/>
      <c r="M33" s="545"/>
      <c r="N33" s="545"/>
      <c r="O33" s="545"/>
      <c r="P33" s="545"/>
      <c r="Q33" s="545"/>
      <c r="R33" s="545"/>
      <c r="S33" s="545"/>
      <c r="T33" s="545"/>
      <c r="U33" s="545"/>
      <c r="V33" s="545"/>
      <c r="W33" s="545"/>
    </row>
    <row r="34" ht="16.5" customHeight="1">
      <c r="A34" s="634" t="s">
        <v>364</v>
      </c>
      <c r="B34" s="635">
        <v>0.0</v>
      </c>
      <c r="C34" s="636">
        <f>B34/100*C33</f>
        <v>0</v>
      </c>
      <c r="D34" s="545"/>
      <c r="E34" s="545"/>
      <c r="F34" s="545"/>
      <c r="G34" s="545"/>
      <c r="H34" s="545"/>
      <c r="I34" s="545"/>
      <c r="J34" s="545"/>
      <c r="K34" s="545"/>
      <c r="L34" s="545"/>
      <c r="M34" s="545"/>
      <c r="N34" s="545"/>
      <c r="O34" s="545"/>
      <c r="P34" s="545"/>
      <c r="Q34" s="545"/>
      <c r="R34" s="545"/>
      <c r="S34" s="545"/>
      <c r="T34" s="545"/>
      <c r="U34" s="545"/>
      <c r="V34" s="545"/>
      <c r="W34" s="545"/>
    </row>
    <row r="35" ht="16.5" customHeight="1">
      <c r="A35" s="634" t="s">
        <v>365</v>
      </c>
      <c r="B35" s="638">
        <v>0.0</v>
      </c>
      <c r="C35" s="636">
        <f>C33*B35/12*B19</f>
        <v>0</v>
      </c>
      <c r="D35" s="545"/>
      <c r="E35" s="545"/>
      <c r="F35" s="545"/>
      <c r="G35" s="545"/>
      <c r="H35" s="545"/>
      <c r="I35" s="545"/>
      <c r="J35" s="545"/>
      <c r="K35" s="545"/>
      <c r="L35" s="545"/>
      <c r="M35" s="545"/>
      <c r="N35" s="545"/>
      <c r="O35" s="545"/>
      <c r="P35" s="545"/>
      <c r="Q35" s="545"/>
      <c r="R35" s="545"/>
      <c r="S35" s="545"/>
      <c r="T35" s="545"/>
      <c r="U35" s="545"/>
      <c r="V35" s="545"/>
      <c r="W35" s="545"/>
    </row>
    <row r="36" ht="16.5" customHeight="1">
      <c r="A36" s="634" t="s">
        <v>366</v>
      </c>
      <c r="B36" s="642"/>
      <c r="C36" s="636">
        <f>C35/B19</f>
        <v>0</v>
      </c>
      <c r="D36" s="545"/>
      <c r="E36" s="545"/>
      <c r="F36" s="545"/>
      <c r="G36" s="545"/>
      <c r="H36" s="545"/>
      <c r="I36" s="545"/>
      <c r="J36" s="545"/>
      <c r="K36" s="545"/>
      <c r="L36" s="545"/>
      <c r="M36" s="545"/>
      <c r="N36" s="545"/>
      <c r="O36" s="545"/>
      <c r="P36" s="545"/>
      <c r="Q36" s="545"/>
      <c r="R36" s="545"/>
      <c r="S36" s="545"/>
      <c r="T36" s="545"/>
      <c r="U36" s="545"/>
      <c r="V36" s="545"/>
      <c r="W36" s="545"/>
    </row>
    <row r="37" ht="16.5" customHeight="1">
      <c r="A37" s="634" t="s">
        <v>367</v>
      </c>
      <c r="B37" s="642"/>
      <c r="C37" s="636">
        <v>0.0</v>
      </c>
      <c r="D37" s="545"/>
      <c r="E37" s="545"/>
      <c r="F37" s="545"/>
      <c r="G37" s="545"/>
      <c r="H37" s="545"/>
      <c r="I37" s="545"/>
      <c r="J37" s="545"/>
      <c r="K37" s="545"/>
      <c r="L37" s="545"/>
      <c r="M37" s="545"/>
      <c r="N37" s="545"/>
      <c r="O37" s="545"/>
      <c r="P37" s="545"/>
      <c r="Q37" s="545"/>
      <c r="R37" s="545"/>
      <c r="S37" s="545"/>
      <c r="T37" s="545"/>
      <c r="U37" s="545"/>
      <c r="V37" s="545"/>
      <c r="W37" s="545"/>
    </row>
    <row r="38" ht="16.5" customHeight="1">
      <c r="A38" s="634"/>
      <c r="B38" s="642"/>
      <c r="C38" s="636"/>
      <c r="D38" s="545"/>
      <c r="E38" s="545"/>
      <c r="F38" s="545"/>
      <c r="G38" s="545"/>
      <c r="H38" s="545"/>
      <c r="I38" s="545"/>
      <c r="J38" s="545"/>
      <c r="K38" s="545"/>
      <c r="L38" s="545"/>
      <c r="M38" s="545"/>
      <c r="N38" s="545"/>
      <c r="O38" s="545"/>
      <c r="P38" s="545"/>
      <c r="Q38" s="545"/>
      <c r="R38" s="545"/>
      <c r="S38" s="545"/>
      <c r="T38" s="545"/>
      <c r="U38" s="545"/>
      <c r="V38" s="545"/>
      <c r="W38" s="545"/>
    </row>
    <row r="39" ht="16.5" customHeight="1">
      <c r="A39" s="617" t="s">
        <v>368</v>
      </c>
      <c r="B39" s="677"/>
      <c r="C39" s="679">
        <f>C24+C25+C29+C30+C34+C35+C37</f>
        <v>16104</v>
      </c>
      <c r="D39" s="545"/>
      <c r="E39" s="545"/>
      <c r="F39" s="545"/>
      <c r="G39" s="545"/>
      <c r="H39" s="545"/>
      <c r="I39" s="545"/>
      <c r="J39" s="545"/>
      <c r="K39" s="545"/>
      <c r="L39" s="545"/>
      <c r="M39" s="545"/>
      <c r="N39" s="545"/>
      <c r="O39" s="545"/>
      <c r="P39" s="545"/>
      <c r="Q39" s="545"/>
      <c r="R39" s="545"/>
      <c r="S39" s="545"/>
      <c r="T39" s="545"/>
      <c r="U39" s="545"/>
      <c r="V39" s="545"/>
      <c r="W39" s="545"/>
    </row>
    <row r="40" ht="24.75" customHeight="1">
      <c r="A40" s="684"/>
      <c r="B40" s="475"/>
      <c r="C40" s="476"/>
      <c r="D40" s="545"/>
      <c r="E40" s="545"/>
      <c r="F40" s="545"/>
      <c r="G40" s="545"/>
      <c r="H40" s="545"/>
      <c r="I40" s="545"/>
      <c r="J40" s="545"/>
      <c r="K40" s="545"/>
      <c r="L40" s="545"/>
      <c r="M40" s="545"/>
      <c r="N40" s="545"/>
      <c r="O40" s="545"/>
      <c r="P40" s="545"/>
      <c r="Q40" s="545"/>
      <c r="R40" s="545"/>
      <c r="S40" s="545"/>
      <c r="T40" s="545"/>
      <c r="U40" s="545"/>
      <c r="V40" s="545"/>
      <c r="W40" s="545"/>
    </row>
    <row r="41" ht="18.0" customHeight="1">
      <c r="A41" s="569" t="s">
        <v>142</v>
      </c>
      <c r="B41" s="451"/>
      <c r="C41" s="452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5"/>
      <c r="U41" s="545"/>
      <c r="V41" s="545"/>
      <c r="W41" s="545"/>
    </row>
    <row r="42" ht="36.0" customHeight="1">
      <c r="A42" s="688"/>
      <c r="B42" s="689" t="s">
        <v>146</v>
      </c>
      <c r="C42" s="691" t="s">
        <v>64</v>
      </c>
      <c r="D42" s="545"/>
      <c r="E42" s="545"/>
      <c r="F42" s="545"/>
      <c r="G42" s="545"/>
      <c r="H42" s="545"/>
      <c r="I42" s="545"/>
      <c r="J42" s="545"/>
      <c r="K42" s="545"/>
      <c r="L42" s="545"/>
      <c r="M42" s="545"/>
      <c r="N42" s="545"/>
      <c r="O42" s="545"/>
      <c r="P42" s="545"/>
      <c r="Q42" s="545"/>
      <c r="R42" s="545"/>
      <c r="S42" s="545"/>
      <c r="T42" s="545"/>
      <c r="U42" s="545"/>
      <c r="V42" s="545"/>
      <c r="W42" s="545"/>
    </row>
    <row r="43" ht="18.0" customHeight="1">
      <c r="A43" s="590" t="s">
        <v>11</v>
      </c>
      <c r="B43" s="696">
        <v>1200.0</v>
      </c>
      <c r="C43" s="699">
        <f>B43/12</f>
        <v>100</v>
      </c>
      <c r="D43" s="545"/>
      <c r="E43" s="555"/>
      <c r="F43" s="545"/>
      <c r="G43" s="545"/>
      <c r="H43" s="545"/>
      <c r="I43" s="545"/>
      <c r="J43" s="545"/>
      <c r="K43" s="545"/>
      <c r="L43" s="545"/>
      <c r="M43" s="545"/>
      <c r="N43" s="545"/>
      <c r="O43" s="545"/>
      <c r="P43" s="545"/>
      <c r="Q43" s="545"/>
      <c r="R43" s="545"/>
      <c r="S43" s="545"/>
      <c r="T43" s="545"/>
      <c r="U43" s="545"/>
      <c r="V43" s="545"/>
      <c r="W43" s="545"/>
    </row>
    <row r="44" ht="16.5" customHeight="1">
      <c r="A44" s="590" t="s">
        <v>12</v>
      </c>
      <c r="B44" s="696">
        <f>C44*12</f>
        <v>0</v>
      </c>
      <c r="C44" s="636">
        <v>0.0</v>
      </c>
      <c r="D44" s="545"/>
      <c r="E44" s="545"/>
      <c r="F44" s="545"/>
      <c r="G44" s="545"/>
      <c r="H44" s="545"/>
      <c r="I44" s="545"/>
      <c r="J44" s="545"/>
      <c r="K44" s="545"/>
      <c r="L44" s="545"/>
      <c r="M44" s="545"/>
      <c r="N44" s="545"/>
      <c r="O44" s="545"/>
      <c r="P44" s="545"/>
      <c r="Q44" s="545"/>
      <c r="R44" s="545"/>
      <c r="S44" s="545"/>
      <c r="T44" s="545"/>
      <c r="U44" s="545"/>
      <c r="V44" s="545"/>
      <c r="W44" s="545"/>
    </row>
    <row r="45" ht="16.5" customHeight="1">
      <c r="A45" s="590" t="s">
        <v>13</v>
      </c>
      <c r="B45" s="696">
        <v>1050.0</v>
      </c>
      <c r="C45" s="699">
        <f>B45/12</f>
        <v>87.5</v>
      </c>
      <c r="D45" s="545"/>
      <c r="E45" s="545"/>
      <c r="F45" s="545"/>
      <c r="G45" s="545"/>
      <c r="H45" s="545"/>
      <c r="I45" s="545"/>
      <c r="J45" s="545"/>
      <c r="K45" s="545"/>
      <c r="L45" s="545"/>
      <c r="M45" s="545"/>
      <c r="N45" s="545"/>
      <c r="O45" s="545"/>
      <c r="P45" s="545"/>
      <c r="Q45" s="545"/>
      <c r="R45" s="545"/>
      <c r="S45" s="545"/>
      <c r="T45" s="545"/>
      <c r="U45" s="545"/>
      <c r="V45" s="545"/>
      <c r="W45" s="545"/>
    </row>
    <row r="46" ht="16.5" customHeight="1">
      <c r="A46" s="590" t="s">
        <v>14</v>
      </c>
      <c r="B46" s="696"/>
      <c r="C46" s="699"/>
      <c r="D46" s="545"/>
      <c r="E46" s="545"/>
      <c r="F46" s="545"/>
      <c r="G46" s="545"/>
      <c r="H46" s="545"/>
      <c r="I46" s="545"/>
      <c r="J46" s="545"/>
      <c r="K46" s="545"/>
      <c r="L46" s="545"/>
      <c r="M46" s="545"/>
      <c r="N46" s="545"/>
      <c r="O46" s="545"/>
      <c r="P46" s="545"/>
      <c r="Q46" s="545"/>
      <c r="R46" s="545"/>
      <c r="S46" s="545"/>
      <c r="T46" s="545"/>
      <c r="U46" s="545"/>
      <c r="V46" s="545"/>
      <c r="W46" s="545"/>
    </row>
    <row r="47" ht="16.5" customHeight="1">
      <c r="A47" s="706" t="s">
        <v>24</v>
      </c>
      <c r="B47" s="696"/>
      <c r="C47" s="636">
        <v>75.0</v>
      </c>
      <c r="D47" s="545"/>
      <c r="E47" s="545"/>
      <c r="F47" s="545"/>
      <c r="G47" s="545"/>
      <c r="H47" s="545"/>
      <c r="I47" s="545"/>
      <c r="J47" s="545"/>
      <c r="K47" s="545"/>
      <c r="L47" s="545"/>
      <c r="M47" s="545"/>
      <c r="N47" s="545"/>
      <c r="O47" s="545"/>
      <c r="P47" s="545"/>
      <c r="Q47" s="545"/>
      <c r="R47" s="545"/>
      <c r="S47" s="545"/>
      <c r="T47" s="545"/>
      <c r="U47" s="545"/>
      <c r="V47" s="545"/>
      <c r="W47" s="545"/>
    </row>
    <row r="48" ht="16.5" customHeight="1">
      <c r="A48" s="706" t="s">
        <v>25</v>
      </c>
      <c r="B48" s="696"/>
      <c r="C48" s="636">
        <v>75.0</v>
      </c>
      <c r="D48" s="545"/>
      <c r="E48" s="545"/>
      <c r="F48" s="545"/>
      <c r="G48" s="545"/>
      <c r="H48" s="545"/>
      <c r="I48" s="545"/>
      <c r="J48" s="545"/>
      <c r="K48" s="545"/>
      <c r="L48" s="545"/>
      <c r="M48" s="545"/>
      <c r="N48" s="545"/>
      <c r="O48" s="545"/>
      <c r="P48" s="545"/>
      <c r="Q48" s="545"/>
      <c r="R48" s="545"/>
      <c r="S48" s="545"/>
      <c r="T48" s="545"/>
      <c r="U48" s="545"/>
      <c r="V48" s="545"/>
      <c r="W48" s="545"/>
    </row>
    <row r="49" ht="16.5" customHeight="1">
      <c r="A49" s="706" t="s">
        <v>26</v>
      </c>
      <c r="B49" s="696"/>
      <c r="C49" s="636">
        <v>50.0</v>
      </c>
      <c r="D49" s="545"/>
      <c r="E49" s="545"/>
      <c r="F49" s="545"/>
      <c r="G49" s="545"/>
      <c r="H49" s="545"/>
      <c r="I49" s="545"/>
      <c r="J49" s="545"/>
      <c r="K49" s="545"/>
      <c r="L49" s="545"/>
      <c r="M49" s="545"/>
      <c r="N49" s="545"/>
      <c r="O49" s="545"/>
      <c r="P49" s="545"/>
      <c r="Q49" s="545"/>
      <c r="R49" s="545"/>
      <c r="S49" s="545"/>
      <c r="T49" s="545"/>
      <c r="U49" s="545"/>
      <c r="V49" s="545"/>
      <c r="W49" s="545"/>
    </row>
    <row r="50" ht="16.5" customHeight="1">
      <c r="A50" s="706" t="s">
        <v>27</v>
      </c>
      <c r="B50" s="696"/>
      <c r="C50" s="636">
        <v>0.0</v>
      </c>
      <c r="D50" s="545"/>
      <c r="E50" s="545"/>
      <c r="F50" s="545"/>
      <c r="G50" s="545"/>
      <c r="H50" s="545"/>
      <c r="I50" s="545"/>
      <c r="J50" s="545"/>
      <c r="K50" s="545"/>
      <c r="L50" s="545"/>
      <c r="M50" s="545"/>
      <c r="N50" s="545"/>
      <c r="O50" s="545"/>
      <c r="P50" s="545"/>
      <c r="Q50" s="545"/>
      <c r="R50" s="545"/>
      <c r="S50" s="545"/>
      <c r="T50" s="545"/>
      <c r="U50" s="545"/>
      <c r="V50" s="545"/>
      <c r="W50" s="545"/>
    </row>
    <row r="51" ht="16.5" customHeight="1">
      <c r="A51" s="590" t="s">
        <v>369</v>
      </c>
      <c r="B51" s="642"/>
      <c r="C51" s="699">
        <f>C50+C49+C48+C47</f>
        <v>200</v>
      </c>
      <c r="D51" s="545"/>
      <c r="E51" s="545"/>
      <c r="F51" s="545"/>
      <c r="G51" s="545"/>
      <c r="H51" s="545"/>
      <c r="I51" s="545"/>
      <c r="J51" s="545"/>
      <c r="K51" s="545"/>
      <c r="L51" s="545"/>
      <c r="M51" s="545"/>
      <c r="N51" s="545"/>
      <c r="O51" s="545"/>
      <c r="P51" s="545"/>
      <c r="Q51" s="545"/>
      <c r="R51" s="545"/>
      <c r="S51" s="545"/>
      <c r="T51" s="545"/>
      <c r="U51" s="545"/>
      <c r="V51" s="545"/>
      <c r="W51" s="545"/>
    </row>
    <row r="52" ht="16.5" customHeight="1">
      <c r="A52" s="590" t="s">
        <v>171</v>
      </c>
      <c r="B52" s="642"/>
      <c r="C52" s="636">
        <v>0.0</v>
      </c>
      <c r="D52" s="545"/>
      <c r="E52" s="545"/>
      <c r="F52" s="545"/>
      <c r="G52" s="545"/>
      <c r="H52" s="545"/>
      <c r="I52" s="545"/>
      <c r="J52" s="545"/>
      <c r="K52" s="545"/>
      <c r="L52" s="545"/>
      <c r="M52" s="545"/>
      <c r="N52" s="545"/>
      <c r="O52" s="545"/>
      <c r="P52" s="545"/>
      <c r="Q52" s="545"/>
      <c r="R52" s="545"/>
      <c r="S52" s="545"/>
      <c r="T52" s="545"/>
      <c r="U52" s="545"/>
      <c r="V52" s="545"/>
      <c r="W52" s="545"/>
    </row>
    <row r="53" ht="16.5" customHeight="1">
      <c r="A53" s="617" t="s">
        <v>370</v>
      </c>
      <c r="B53" s="719"/>
      <c r="C53" s="721">
        <f>C43+C44+C45+C51+C52</f>
        <v>387.5</v>
      </c>
      <c r="D53" s="545"/>
      <c r="E53" s="545"/>
      <c r="F53" s="545"/>
      <c r="G53" s="545"/>
      <c r="H53" s="545"/>
      <c r="I53" s="545"/>
      <c r="J53" s="545"/>
      <c r="K53" s="545"/>
      <c r="L53" s="545"/>
      <c r="M53" s="545"/>
      <c r="N53" s="545"/>
      <c r="O53" s="545"/>
      <c r="P53" s="545"/>
      <c r="Q53" s="545"/>
      <c r="R53" s="545"/>
      <c r="S53" s="545"/>
      <c r="T53" s="545"/>
      <c r="U53" s="545"/>
      <c r="V53" s="545"/>
      <c r="W53" s="545"/>
    </row>
    <row r="54" ht="24.75" customHeight="1">
      <c r="A54" s="722"/>
      <c r="B54" s="475"/>
      <c r="C54" s="476"/>
      <c r="D54" s="545"/>
      <c r="E54" s="545"/>
      <c r="F54" s="545"/>
      <c r="G54" s="545"/>
      <c r="H54" s="545"/>
      <c r="I54" s="545"/>
      <c r="J54" s="545"/>
      <c r="K54" s="545"/>
      <c r="L54" s="545"/>
      <c r="M54" s="545"/>
      <c r="N54" s="545"/>
      <c r="O54" s="545"/>
      <c r="P54" s="545"/>
      <c r="Q54" s="545"/>
      <c r="R54" s="545"/>
      <c r="S54" s="545"/>
      <c r="T54" s="545"/>
      <c r="U54" s="545"/>
      <c r="V54" s="545"/>
      <c r="W54" s="545"/>
    </row>
    <row r="55" ht="18.0" customHeight="1">
      <c r="A55" s="569" t="s">
        <v>179</v>
      </c>
      <c r="B55" s="451"/>
      <c r="C55" s="452"/>
      <c r="D55" s="545"/>
      <c r="E55" s="545"/>
      <c r="F55" s="545"/>
      <c r="G55" s="545"/>
      <c r="H55" s="545"/>
      <c r="I55" s="545"/>
      <c r="J55" s="545"/>
      <c r="K55" s="545"/>
      <c r="L55" s="545"/>
      <c r="M55" s="545"/>
      <c r="N55" s="545"/>
      <c r="O55" s="545"/>
      <c r="P55" s="545"/>
      <c r="Q55" s="545"/>
      <c r="R55" s="545"/>
      <c r="S55" s="545"/>
      <c r="T55" s="545"/>
      <c r="U55" s="545"/>
      <c r="V55" s="545"/>
      <c r="W55" s="545"/>
    </row>
    <row r="56" ht="36.0" customHeight="1">
      <c r="A56" s="688"/>
      <c r="B56" s="723" t="s">
        <v>371</v>
      </c>
      <c r="C56" s="691" t="s">
        <v>183</v>
      </c>
      <c r="D56" s="724"/>
      <c r="E56" s="724"/>
      <c r="F56" s="724"/>
      <c r="G56" s="724"/>
      <c r="H56" s="724"/>
      <c r="I56" s="724"/>
      <c r="J56" s="724"/>
      <c r="K56" s="724"/>
      <c r="L56" s="724"/>
      <c r="M56" s="724"/>
      <c r="N56" s="724"/>
      <c r="O56" s="724"/>
      <c r="P56" s="724"/>
      <c r="Q56" s="724"/>
      <c r="R56" s="724"/>
      <c r="S56" s="724"/>
      <c r="T56" s="724"/>
      <c r="U56" s="724"/>
      <c r="V56" s="724"/>
      <c r="W56" s="724"/>
    </row>
    <row r="57" ht="18.0" customHeight="1">
      <c r="A57" s="634" t="s">
        <v>28</v>
      </c>
      <c r="B57" s="726"/>
      <c r="C57" s="727">
        <v>900.0</v>
      </c>
      <c r="D57" s="724"/>
      <c r="E57" s="728" t="s">
        <v>653</v>
      </c>
      <c r="F57" s="724"/>
      <c r="G57" s="724"/>
      <c r="H57" s="724"/>
      <c r="I57" s="724"/>
      <c r="J57" s="724"/>
      <c r="K57" s="724"/>
      <c r="L57" s="724"/>
      <c r="M57" s="724"/>
      <c r="N57" s="724"/>
      <c r="O57" s="724"/>
      <c r="P57" s="724"/>
      <c r="Q57" s="724"/>
      <c r="R57" s="724"/>
      <c r="S57" s="724"/>
      <c r="T57" s="724"/>
      <c r="U57" s="724"/>
      <c r="V57" s="724"/>
      <c r="W57" s="724"/>
    </row>
    <row r="58" ht="16.5" customHeight="1">
      <c r="A58" s="634" t="s">
        <v>188</v>
      </c>
      <c r="B58" s="726">
        <v>0.0025</v>
      </c>
      <c r="C58" s="727">
        <f>(500)+(B58*B18)</f>
        <v>826.125</v>
      </c>
      <c r="D58" s="545"/>
      <c r="E58" s="545"/>
      <c r="F58" s="545"/>
      <c r="G58" s="545"/>
      <c r="H58" s="545"/>
      <c r="I58" s="545"/>
      <c r="J58" s="545"/>
      <c r="K58" s="545"/>
      <c r="L58" s="545"/>
      <c r="M58" s="545"/>
      <c r="N58" s="545"/>
      <c r="O58" s="545"/>
      <c r="P58" s="545"/>
      <c r="Q58" s="545"/>
      <c r="R58" s="545"/>
      <c r="S58" s="545"/>
      <c r="T58" s="545"/>
      <c r="U58" s="545"/>
      <c r="V58" s="545"/>
      <c r="W58" s="545"/>
    </row>
    <row r="59" ht="16.5" customHeight="1">
      <c r="A59" s="634" t="s">
        <v>31</v>
      </c>
      <c r="B59" s="731"/>
      <c r="C59" s="727">
        <v>0.0</v>
      </c>
      <c r="D59" s="545"/>
      <c r="E59" s="545"/>
      <c r="F59" s="545"/>
      <c r="G59" s="545"/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545"/>
      <c r="T59" s="545"/>
      <c r="U59" s="545"/>
      <c r="V59" s="545"/>
      <c r="W59" s="545"/>
    </row>
    <row r="60" ht="16.5" customHeight="1">
      <c r="A60" s="617" t="s">
        <v>372</v>
      </c>
      <c r="B60" s="677"/>
      <c r="C60" s="733">
        <f>SUM(C57:C59)</f>
        <v>1726.125</v>
      </c>
      <c r="D60" s="545"/>
      <c r="E60" s="545"/>
      <c r="F60" s="545"/>
      <c r="G60" s="545"/>
      <c r="H60" s="545"/>
      <c r="I60" s="545"/>
      <c r="J60" s="545"/>
      <c r="K60" s="545"/>
      <c r="L60" s="545"/>
      <c r="M60" s="545"/>
      <c r="N60" s="545"/>
      <c r="O60" s="545"/>
      <c r="P60" s="545"/>
      <c r="Q60" s="545"/>
      <c r="R60" s="545"/>
      <c r="S60" s="545"/>
      <c r="T60" s="545"/>
      <c r="U60" s="545"/>
      <c r="V60" s="545"/>
      <c r="W60" s="545"/>
    </row>
    <row r="61" ht="24.75" customHeight="1">
      <c r="A61" s="722"/>
      <c r="B61" s="475"/>
      <c r="C61" s="476"/>
      <c r="D61" s="545"/>
      <c r="E61" s="545"/>
      <c r="F61" s="545"/>
      <c r="G61" s="545"/>
      <c r="H61" s="545"/>
      <c r="I61" s="545"/>
      <c r="J61" s="545"/>
      <c r="K61" s="545"/>
      <c r="L61" s="545"/>
      <c r="M61" s="545"/>
      <c r="N61" s="545"/>
      <c r="O61" s="545"/>
      <c r="P61" s="545"/>
      <c r="Q61" s="545"/>
      <c r="R61" s="545"/>
      <c r="S61" s="545"/>
      <c r="T61" s="545"/>
      <c r="U61" s="545"/>
      <c r="V61" s="545"/>
      <c r="W61" s="545"/>
    </row>
    <row r="62" ht="18.0" customHeight="1">
      <c r="A62" s="569" t="s">
        <v>193</v>
      </c>
      <c r="B62" s="451"/>
      <c r="C62" s="452"/>
      <c r="D62" s="545"/>
      <c r="E62" s="545"/>
      <c r="F62" s="545"/>
      <c r="G62" s="545"/>
      <c r="H62" s="545"/>
      <c r="I62" s="545"/>
      <c r="J62" s="545"/>
      <c r="K62" s="545"/>
      <c r="L62" s="545"/>
      <c r="M62" s="545"/>
      <c r="N62" s="545"/>
      <c r="O62" s="545"/>
      <c r="P62" s="545"/>
      <c r="Q62" s="545"/>
      <c r="R62" s="545"/>
      <c r="S62" s="545"/>
      <c r="T62" s="545"/>
      <c r="U62" s="545"/>
      <c r="V62" s="545"/>
      <c r="W62" s="545"/>
    </row>
    <row r="63" ht="36.0" customHeight="1">
      <c r="A63" s="735"/>
      <c r="B63" s="723" t="s">
        <v>371</v>
      </c>
      <c r="C63" s="736" t="s">
        <v>183</v>
      </c>
      <c r="D63" s="545"/>
      <c r="E63" s="545"/>
      <c r="F63" s="545"/>
      <c r="G63" s="545"/>
      <c r="H63" s="545"/>
      <c r="I63" s="545"/>
      <c r="J63" s="545"/>
      <c r="K63" s="545"/>
      <c r="L63" s="545"/>
      <c r="M63" s="545"/>
      <c r="N63" s="545"/>
      <c r="O63" s="545"/>
      <c r="P63" s="545"/>
      <c r="Q63" s="545"/>
      <c r="R63" s="545"/>
      <c r="S63" s="545"/>
      <c r="T63" s="545"/>
      <c r="U63" s="545"/>
      <c r="V63" s="545"/>
      <c r="W63" s="545"/>
    </row>
    <row r="64" ht="18.0" customHeight="1">
      <c r="A64" s="634" t="s">
        <v>28</v>
      </c>
      <c r="B64" s="726"/>
      <c r="C64" s="737">
        <v>1300.0</v>
      </c>
      <c r="D64" s="545"/>
      <c r="E64" s="545"/>
      <c r="F64" s="545"/>
      <c r="G64" s="545"/>
      <c r="H64" s="545"/>
      <c r="I64" s="545"/>
      <c r="J64" s="545"/>
      <c r="K64" s="545"/>
      <c r="L64" s="545"/>
      <c r="M64" s="545"/>
      <c r="N64" s="545"/>
      <c r="O64" s="545"/>
      <c r="P64" s="545"/>
      <c r="Q64" s="545"/>
      <c r="R64" s="545"/>
      <c r="S64" s="545"/>
      <c r="T64" s="545"/>
      <c r="U64" s="545"/>
      <c r="V64" s="545"/>
      <c r="W64" s="545"/>
    </row>
    <row r="65" ht="16.5" customHeight="1">
      <c r="A65" s="634" t="s">
        <v>32</v>
      </c>
      <c r="B65" s="638">
        <v>0.005</v>
      </c>
      <c r="C65" s="699">
        <f>B65*B15</f>
        <v>900</v>
      </c>
      <c r="D65" s="545"/>
      <c r="E65" s="545"/>
      <c r="F65" s="545"/>
      <c r="G65" s="545"/>
      <c r="H65" s="545"/>
      <c r="I65" s="545"/>
      <c r="J65" s="545"/>
      <c r="K65" s="545"/>
      <c r="L65" s="545"/>
      <c r="M65" s="545"/>
      <c r="N65" s="545"/>
      <c r="O65" s="545"/>
      <c r="P65" s="545"/>
      <c r="Q65" s="545"/>
      <c r="R65" s="545"/>
      <c r="S65" s="545"/>
      <c r="T65" s="545"/>
      <c r="U65" s="545"/>
      <c r="V65" s="545"/>
      <c r="W65" s="545"/>
    </row>
    <row r="66" ht="16.5" customHeight="1">
      <c r="A66" s="634" t="s">
        <v>34</v>
      </c>
      <c r="B66" s="638">
        <v>0.0</v>
      </c>
      <c r="C66" s="699">
        <f>B66*B15</f>
        <v>0</v>
      </c>
      <c r="D66" s="545"/>
      <c r="E66" s="545"/>
      <c r="F66" s="545"/>
      <c r="G66" s="545"/>
      <c r="H66" s="545"/>
      <c r="I66" s="545"/>
      <c r="J66" s="545"/>
      <c r="K66" s="545"/>
      <c r="L66" s="545"/>
      <c r="M66" s="545"/>
      <c r="N66" s="545"/>
      <c r="O66" s="545"/>
      <c r="P66" s="545"/>
      <c r="Q66" s="545"/>
      <c r="R66" s="545"/>
      <c r="S66" s="545"/>
      <c r="T66" s="545"/>
      <c r="U66" s="545"/>
      <c r="V66" s="545"/>
      <c r="W66" s="545"/>
    </row>
    <row r="67" ht="16.5" customHeight="1">
      <c r="A67" s="634" t="s">
        <v>35</v>
      </c>
      <c r="B67" s="638">
        <v>0.015</v>
      </c>
      <c r="C67" s="699">
        <f>B67*B15</f>
        <v>2700</v>
      </c>
      <c r="D67" s="545"/>
      <c r="E67" s="545"/>
      <c r="F67" s="545"/>
      <c r="G67" s="545"/>
      <c r="H67" s="545"/>
      <c r="I67" s="545"/>
      <c r="J67" s="545"/>
      <c r="K67" s="545"/>
      <c r="L67" s="545"/>
      <c r="M67" s="545"/>
      <c r="N67" s="545"/>
      <c r="O67" s="545"/>
      <c r="P67" s="545"/>
      <c r="Q67" s="545"/>
      <c r="R67" s="545"/>
      <c r="S67" s="545"/>
      <c r="T67" s="545"/>
      <c r="U67" s="545"/>
      <c r="V67" s="545"/>
      <c r="W67" s="545"/>
    </row>
    <row r="68" ht="16.5" customHeight="1">
      <c r="A68" s="634" t="s">
        <v>36</v>
      </c>
      <c r="B68" s="731"/>
      <c r="C68" s="737">
        <v>0.0</v>
      </c>
      <c r="D68" s="545"/>
      <c r="E68" s="545"/>
      <c r="F68" s="545"/>
      <c r="G68" s="545"/>
      <c r="H68" s="545"/>
      <c r="I68" s="545"/>
      <c r="J68" s="545"/>
      <c r="K68" s="545"/>
      <c r="L68" s="545"/>
      <c r="M68" s="545"/>
      <c r="N68" s="545"/>
      <c r="O68" s="545"/>
      <c r="P68" s="545"/>
      <c r="Q68" s="545"/>
      <c r="R68" s="545"/>
      <c r="S68" s="545"/>
      <c r="T68" s="545"/>
      <c r="U68" s="545"/>
      <c r="V68" s="545"/>
      <c r="W68" s="545"/>
    </row>
    <row r="69" ht="16.5" customHeight="1">
      <c r="A69" s="634" t="s">
        <v>19</v>
      </c>
      <c r="B69" s="731"/>
      <c r="C69" s="737">
        <v>0.0</v>
      </c>
      <c r="D69" s="545"/>
      <c r="E69" s="545"/>
      <c r="F69" s="545"/>
      <c r="G69" s="545"/>
      <c r="H69" s="545"/>
      <c r="I69" s="545"/>
      <c r="J69" s="545"/>
      <c r="K69" s="545"/>
      <c r="L69" s="545"/>
      <c r="M69" s="545"/>
      <c r="N69" s="545"/>
      <c r="O69" s="545"/>
      <c r="P69" s="545"/>
      <c r="Q69" s="545"/>
      <c r="R69" s="545"/>
      <c r="S69" s="545"/>
      <c r="T69" s="545"/>
      <c r="U69" s="545"/>
      <c r="V69" s="545"/>
      <c r="W69" s="545"/>
    </row>
    <row r="70" ht="16.5" customHeight="1">
      <c r="A70" s="634" t="s">
        <v>20</v>
      </c>
      <c r="B70" s="731"/>
      <c r="C70" s="737">
        <v>0.0</v>
      </c>
      <c r="D70" s="545"/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</row>
    <row r="71" ht="16.5" customHeight="1">
      <c r="A71" s="634" t="s">
        <v>21</v>
      </c>
      <c r="B71" s="731"/>
      <c r="C71" s="738">
        <v>0.0</v>
      </c>
      <c r="D71" s="545"/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</row>
    <row r="72" ht="16.5" customHeight="1">
      <c r="A72" s="739" t="s">
        <v>373</v>
      </c>
      <c r="B72" s="740"/>
      <c r="C72" s="741">
        <f>SUM(C64:C71)</f>
        <v>4900</v>
      </c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5"/>
      <c r="Q72" s="545"/>
      <c r="R72" s="545"/>
      <c r="S72" s="545"/>
      <c r="T72" s="545"/>
      <c r="U72" s="545"/>
      <c r="V72" s="545"/>
      <c r="W72" s="545"/>
    </row>
    <row r="73" ht="24.75" customHeight="1">
      <c r="A73" s="742"/>
      <c r="B73" s="508"/>
      <c r="C73" s="508"/>
      <c r="D73" s="545"/>
      <c r="E73" s="545"/>
      <c r="F73" s="545"/>
      <c r="G73" s="545"/>
      <c r="H73" s="545"/>
      <c r="I73" s="545"/>
      <c r="J73" s="545"/>
      <c r="K73" s="545"/>
      <c r="L73" s="545"/>
      <c r="M73" s="545"/>
      <c r="N73" s="545"/>
      <c r="O73" s="545"/>
      <c r="P73" s="545"/>
      <c r="Q73" s="545"/>
      <c r="R73" s="545"/>
      <c r="S73" s="545"/>
      <c r="T73" s="545"/>
      <c r="U73" s="545"/>
      <c r="V73" s="545"/>
      <c r="W73" s="545"/>
    </row>
    <row r="74" ht="18.75" customHeight="1">
      <c r="A74" s="743"/>
      <c r="B74" s="743"/>
      <c r="C74" s="743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5"/>
      <c r="Q74" s="545"/>
      <c r="R74" s="545"/>
      <c r="S74" s="545"/>
      <c r="T74" s="545"/>
      <c r="U74" s="545"/>
      <c r="V74" s="545"/>
      <c r="W74" s="545"/>
    </row>
    <row r="75" ht="21.75" customHeight="1">
      <c r="A75" s="744" t="s">
        <v>374</v>
      </c>
      <c r="B75" s="511"/>
      <c r="C75" s="512"/>
      <c r="D75" s="545"/>
      <c r="E75" s="545"/>
      <c r="F75" s="545"/>
      <c r="G75" s="545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</row>
    <row r="76" ht="36.0" customHeight="1">
      <c r="A76" s="745" t="s">
        <v>107</v>
      </c>
      <c r="B76" s="514"/>
      <c r="C76" s="515"/>
      <c r="D76" s="545"/>
      <c r="E76" s="545"/>
      <c r="F76" s="545"/>
      <c r="G76" s="545"/>
      <c r="H76" s="545"/>
      <c r="I76" s="545"/>
      <c r="J76" s="545"/>
      <c r="K76" s="545"/>
      <c r="L76" s="545"/>
      <c r="M76" s="545"/>
      <c r="N76" s="545"/>
      <c r="O76" s="545"/>
      <c r="P76" s="545"/>
      <c r="Q76" s="545"/>
      <c r="R76" s="545"/>
      <c r="S76" s="545"/>
      <c r="T76" s="545"/>
      <c r="U76" s="545"/>
      <c r="V76" s="545"/>
      <c r="W76" s="545"/>
    </row>
    <row r="77" ht="30.0" customHeight="1">
      <c r="A77" s="746" t="s">
        <v>375</v>
      </c>
      <c r="B77" s="747">
        <f>B15</f>
        <v>180000</v>
      </c>
      <c r="C77" s="518"/>
      <c r="D77" s="545"/>
      <c r="E77" s="545"/>
      <c r="F77" s="545"/>
      <c r="G77" s="545"/>
      <c r="H77" s="545"/>
      <c r="I77" s="545"/>
      <c r="J77" s="545"/>
      <c r="K77" s="545"/>
      <c r="L77" s="545"/>
      <c r="M77" s="545"/>
      <c r="N77" s="545"/>
      <c r="O77" s="545"/>
      <c r="P77" s="545"/>
      <c r="Q77" s="545"/>
      <c r="R77" s="545"/>
      <c r="S77" s="545"/>
      <c r="T77" s="545"/>
      <c r="U77" s="545"/>
      <c r="V77" s="545"/>
      <c r="W77" s="545"/>
    </row>
    <row r="78" ht="18.0" customHeight="1">
      <c r="A78" s="748" t="s">
        <v>7</v>
      </c>
      <c r="B78" s="749">
        <f>B18</f>
        <v>130450</v>
      </c>
      <c r="C78" s="521"/>
      <c r="D78" s="545"/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5"/>
      <c r="Q78" s="545"/>
      <c r="R78" s="545"/>
      <c r="S78" s="545"/>
      <c r="T78" s="545"/>
      <c r="U78" s="545"/>
      <c r="V78" s="545"/>
      <c r="W78" s="545"/>
    </row>
    <row r="79" ht="16.5" customHeight="1">
      <c r="A79" s="748" t="s">
        <v>351</v>
      </c>
      <c r="B79" s="749">
        <f>B17</f>
        <v>15950</v>
      </c>
      <c r="C79" s="521"/>
      <c r="D79" s="545"/>
      <c r="E79" s="545"/>
      <c r="F79" s="545"/>
      <c r="G79" s="545"/>
      <c r="H79" s="545"/>
      <c r="I79" s="545"/>
      <c r="J79" s="545"/>
      <c r="K79" s="545"/>
      <c r="L79" s="545"/>
      <c r="M79" s="545"/>
      <c r="N79" s="545"/>
      <c r="O79" s="545"/>
      <c r="P79" s="545"/>
      <c r="Q79" s="545"/>
      <c r="R79" s="545"/>
      <c r="S79" s="545"/>
      <c r="T79" s="545"/>
      <c r="U79" s="545"/>
      <c r="V79" s="545"/>
      <c r="W79" s="545"/>
    </row>
    <row r="80" ht="16.5" customHeight="1">
      <c r="A80" s="748" t="s">
        <v>376</v>
      </c>
      <c r="B80" s="749">
        <f>C24+C25+C29+C30+C34+C35+C37</f>
        <v>16104</v>
      </c>
      <c r="C80" s="521"/>
      <c r="D80" s="545"/>
      <c r="E80" s="545"/>
      <c r="F80" s="545"/>
      <c r="G80" s="545"/>
      <c r="H80" s="545"/>
      <c r="I80" s="545"/>
      <c r="J80" s="545"/>
      <c r="K80" s="545"/>
      <c r="L80" s="545"/>
      <c r="M80" s="545"/>
      <c r="N80" s="545"/>
      <c r="O80" s="545"/>
      <c r="P80" s="545"/>
      <c r="Q80" s="545"/>
      <c r="R80" s="545"/>
      <c r="S80" s="545"/>
      <c r="T80" s="545"/>
      <c r="U80" s="545"/>
      <c r="V80" s="545"/>
      <c r="W80" s="545"/>
    </row>
    <row r="81" ht="16.5" customHeight="1">
      <c r="A81" s="748" t="s">
        <v>123</v>
      </c>
      <c r="B81" s="749">
        <f>C53*B19</f>
        <v>2325</v>
      </c>
      <c r="C81" s="521"/>
      <c r="D81" s="545"/>
      <c r="E81" s="545"/>
      <c r="F81" s="545"/>
      <c r="G81" s="545"/>
      <c r="H81" s="545"/>
      <c r="I81" s="545"/>
      <c r="J81" s="545"/>
      <c r="K81" s="545"/>
      <c r="L81" s="545"/>
      <c r="M81" s="545"/>
      <c r="N81" s="545"/>
      <c r="O81" s="545"/>
      <c r="P81" s="545"/>
      <c r="Q81" s="545"/>
      <c r="R81" s="545"/>
      <c r="S81" s="545"/>
      <c r="T81" s="545"/>
      <c r="U81" s="545"/>
      <c r="V81" s="545"/>
      <c r="W81" s="545"/>
    </row>
    <row r="82" ht="16.5" customHeight="1">
      <c r="A82" s="748" t="s">
        <v>377</v>
      </c>
      <c r="B82" s="749">
        <f>SUM(C57:C59)</f>
        <v>1726.125</v>
      </c>
      <c r="C82" s="521"/>
      <c r="D82" s="545"/>
      <c r="E82" s="545"/>
      <c r="F82" s="545"/>
      <c r="G82" s="545"/>
      <c r="H82" s="545"/>
      <c r="I82" s="545"/>
      <c r="J82" s="545"/>
      <c r="K82" s="545"/>
      <c r="L82" s="545"/>
      <c r="M82" s="545"/>
      <c r="N82" s="545"/>
      <c r="O82" s="545"/>
      <c r="P82" s="545"/>
      <c r="Q82" s="545"/>
      <c r="R82" s="545"/>
      <c r="S82" s="545"/>
      <c r="T82" s="545"/>
      <c r="U82" s="545"/>
      <c r="V82" s="545"/>
      <c r="W82" s="545"/>
    </row>
    <row r="83" ht="16.5" customHeight="1">
      <c r="A83" s="748" t="s">
        <v>378</v>
      </c>
      <c r="B83" s="760">
        <f>SUM(C64:C71)</f>
        <v>4900</v>
      </c>
      <c r="C83" s="523"/>
      <c r="D83" s="545"/>
      <c r="E83" s="545"/>
      <c r="F83" s="545"/>
      <c r="G83" s="545"/>
      <c r="H83" s="545"/>
      <c r="I83" s="545"/>
      <c r="J83" s="545"/>
      <c r="K83" s="545"/>
      <c r="L83" s="545"/>
      <c r="M83" s="545"/>
      <c r="N83" s="545"/>
      <c r="O83" s="545"/>
      <c r="P83" s="545"/>
      <c r="Q83" s="545"/>
      <c r="R83" s="545"/>
      <c r="S83" s="545"/>
      <c r="T83" s="545"/>
      <c r="U83" s="545"/>
      <c r="V83" s="545"/>
      <c r="W83" s="545"/>
    </row>
    <row r="84" ht="18.0" customHeight="1">
      <c r="A84" s="761"/>
      <c r="B84" s="15"/>
      <c r="C84" s="525"/>
      <c r="D84" s="545"/>
      <c r="E84" s="545"/>
      <c r="F84" s="545"/>
      <c r="G84" s="545"/>
      <c r="H84" s="545"/>
      <c r="I84" s="545"/>
      <c r="J84" s="545"/>
      <c r="K84" s="545"/>
      <c r="L84" s="545"/>
      <c r="M84" s="545"/>
      <c r="N84" s="545"/>
      <c r="O84" s="545"/>
      <c r="P84" s="545"/>
      <c r="Q84" s="545"/>
      <c r="R84" s="545"/>
      <c r="S84" s="545"/>
      <c r="T84" s="545"/>
      <c r="U84" s="545"/>
      <c r="V84" s="545"/>
      <c r="W84" s="545"/>
    </row>
    <row r="85" ht="18.0" customHeight="1">
      <c r="A85" s="762" t="s">
        <v>379</v>
      </c>
      <c r="B85" s="763">
        <f>B77-B78-B79-B80-B81-B82-B83</f>
        <v>8544.875</v>
      </c>
      <c r="C85" s="528"/>
      <c r="D85" s="545"/>
      <c r="E85" s="545"/>
      <c r="F85" s="545"/>
      <c r="G85" s="545"/>
      <c r="H85" s="545"/>
      <c r="I85" s="545"/>
      <c r="J85" s="545"/>
      <c r="K85" s="545"/>
      <c r="L85" s="545"/>
      <c r="M85" s="545"/>
      <c r="N85" s="545"/>
      <c r="O85" s="545"/>
      <c r="P85" s="545"/>
      <c r="Q85" s="545"/>
      <c r="R85" s="545"/>
      <c r="S85" s="545"/>
      <c r="T85" s="545"/>
      <c r="U85" s="545"/>
      <c r="V85" s="545"/>
      <c r="W85" s="545"/>
    </row>
    <row r="86" ht="36.0" customHeight="1">
      <c r="A86" s="742"/>
      <c r="B86" s="508"/>
      <c r="C86" s="508"/>
      <c r="D86" s="545"/>
      <c r="E86" s="545"/>
      <c r="F86" s="545"/>
      <c r="G86" s="545"/>
      <c r="H86" s="545"/>
      <c r="I86" s="545"/>
      <c r="J86" s="545"/>
      <c r="K86" s="545"/>
      <c r="L86" s="545"/>
      <c r="M86" s="545"/>
      <c r="N86" s="545"/>
      <c r="O86" s="545"/>
      <c r="P86" s="545"/>
      <c r="Q86" s="545"/>
      <c r="R86" s="545"/>
      <c r="S86" s="545"/>
      <c r="T86" s="545"/>
      <c r="U86" s="545"/>
      <c r="V86" s="545"/>
      <c r="W86" s="545"/>
    </row>
    <row r="87" ht="18.75" customHeight="1">
      <c r="A87" s="764" t="s">
        <v>380</v>
      </c>
      <c r="B87" s="511"/>
      <c r="C87" s="512"/>
      <c r="D87" s="545"/>
      <c r="E87" s="545"/>
      <c r="F87" s="545"/>
      <c r="G87" s="545"/>
      <c r="H87" s="545"/>
      <c r="I87" s="545"/>
      <c r="J87" s="545"/>
      <c r="K87" s="545"/>
      <c r="L87" s="545"/>
      <c r="M87" s="545"/>
      <c r="N87" s="545"/>
      <c r="O87" s="545"/>
      <c r="P87" s="545"/>
      <c r="Q87" s="545"/>
      <c r="R87" s="545"/>
      <c r="S87" s="545"/>
      <c r="T87" s="545"/>
      <c r="U87" s="545"/>
      <c r="V87" s="545"/>
      <c r="W87" s="545"/>
    </row>
    <row r="88" ht="36.0" customHeight="1">
      <c r="A88" s="745" t="s">
        <v>381</v>
      </c>
      <c r="B88" s="514"/>
      <c r="C88" s="515"/>
      <c r="D88" s="545"/>
      <c r="E88" s="545"/>
      <c r="F88" s="545"/>
      <c r="G88" s="545"/>
      <c r="H88" s="545"/>
      <c r="I88" s="545"/>
      <c r="J88" s="545"/>
      <c r="K88" s="545"/>
      <c r="L88" s="545"/>
      <c r="M88" s="545"/>
      <c r="N88" s="545"/>
      <c r="O88" s="545"/>
      <c r="P88" s="545"/>
      <c r="Q88" s="545"/>
      <c r="R88" s="545"/>
      <c r="S88" s="545"/>
      <c r="T88" s="545"/>
      <c r="U88" s="545"/>
      <c r="V88" s="545"/>
      <c r="W88" s="545"/>
    </row>
    <row r="89" ht="30.0" customHeight="1">
      <c r="A89" s="765" t="s">
        <v>382</v>
      </c>
      <c r="B89" s="766">
        <f>B2+(B19*30)</f>
        <v>46459</v>
      </c>
      <c r="C89" s="532"/>
      <c r="D89" s="545"/>
      <c r="E89" s="545"/>
      <c r="F89" s="545"/>
      <c r="G89" s="545"/>
      <c r="H89" s="545"/>
      <c r="I89" s="545"/>
      <c r="J89" s="545"/>
      <c r="K89" s="545"/>
      <c r="L89" s="545"/>
      <c r="M89" s="545"/>
      <c r="N89" s="545"/>
      <c r="O89" s="545"/>
      <c r="P89" s="545"/>
      <c r="Q89" s="545"/>
      <c r="R89" s="545"/>
      <c r="S89" s="545"/>
      <c r="T89" s="545"/>
      <c r="U89" s="545"/>
      <c r="V89" s="545"/>
      <c r="W89" s="545"/>
    </row>
    <row r="90" ht="18.0" customHeight="1">
      <c r="A90" s="767" t="s">
        <v>383</v>
      </c>
      <c r="B90" s="768">
        <f>(B78+B79)/B7</f>
        <v>146.4</v>
      </c>
      <c r="C90" s="521"/>
      <c r="D90" s="545"/>
      <c r="E90" s="545"/>
      <c r="F90" s="545"/>
      <c r="G90" s="545"/>
      <c r="H90" s="545"/>
      <c r="I90" s="545"/>
      <c r="J90" s="545"/>
      <c r="K90" s="545"/>
      <c r="L90" s="545"/>
      <c r="M90" s="545"/>
      <c r="N90" s="545"/>
      <c r="O90" s="545"/>
      <c r="P90" s="545"/>
      <c r="Q90" s="545"/>
      <c r="R90" s="545"/>
      <c r="S90" s="545"/>
      <c r="T90" s="545"/>
      <c r="U90" s="545"/>
      <c r="V90" s="545"/>
      <c r="W90" s="545"/>
    </row>
    <row r="91" ht="16.5" customHeight="1">
      <c r="A91" s="748" t="s">
        <v>384</v>
      </c>
      <c r="B91" s="769"/>
      <c r="C91" s="521"/>
      <c r="D91" s="545"/>
      <c r="E91" s="545"/>
      <c r="F91" s="545"/>
      <c r="G91" s="545"/>
      <c r="H91" s="545"/>
      <c r="I91" s="545"/>
      <c r="J91" s="545"/>
      <c r="K91" s="545"/>
      <c r="L91" s="545"/>
      <c r="M91" s="545"/>
      <c r="N91" s="545"/>
      <c r="O91" s="545"/>
      <c r="P91" s="545"/>
      <c r="Q91" s="545"/>
      <c r="R91" s="545"/>
      <c r="S91" s="545"/>
      <c r="T91" s="545"/>
      <c r="U91" s="545"/>
      <c r="V91" s="545"/>
      <c r="W91" s="545"/>
    </row>
    <row r="92" ht="16.5" customHeight="1">
      <c r="A92" s="767" t="s">
        <v>385</v>
      </c>
      <c r="B92" s="769">
        <f>C24</f>
        <v>5856</v>
      </c>
      <c r="C92" s="521"/>
      <c r="D92" s="545"/>
      <c r="E92" s="555" t="s">
        <v>654</v>
      </c>
      <c r="F92" s="545"/>
      <c r="G92" s="545"/>
      <c r="H92" s="545"/>
      <c r="I92" s="545"/>
      <c r="J92" s="545"/>
      <c r="K92" s="545"/>
      <c r="L92" s="545"/>
      <c r="M92" s="545"/>
      <c r="N92" s="545"/>
      <c r="O92" s="545"/>
      <c r="P92" s="545"/>
      <c r="Q92" s="545"/>
      <c r="R92" s="545"/>
      <c r="S92" s="545"/>
      <c r="T92" s="545"/>
      <c r="U92" s="545"/>
      <c r="V92" s="545"/>
      <c r="W92" s="545"/>
    </row>
    <row r="93" ht="16.5" customHeight="1">
      <c r="A93" s="770" t="s">
        <v>386</v>
      </c>
      <c r="B93" s="771">
        <f>B85/(B78+B79)</f>
        <v>0.05836663251</v>
      </c>
      <c r="C93" s="538"/>
      <c r="D93" s="545"/>
      <c r="E93" s="545"/>
      <c r="F93" s="545"/>
      <c r="G93" s="545"/>
      <c r="H93" s="545"/>
      <c r="I93" s="545"/>
      <c r="J93" s="545"/>
      <c r="K93" s="545"/>
      <c r="L93" s="545"/>
      <c r="M93" s="545"/>
      <c r="N93" s="545"/>
      <c r="O93" s="545"/>
      <c r="P93" s="545"/>
      <c r="Q93" s="545"/>
      <c r="R93" s="545"/>
      <c r="S93" s="545"/>
      <c r="T93" s="545"/>
      <c r="U93" s="545"/>
      <c r="V93" s="545"/>
      <c r="W93" s="545"/>
    </row>
    <row r="94" ht="18.0" customHeight="1">
      <c r="A94" s="772"/>
      <c r="B94" s="540"/>
      <c r="C94" s="541"/>
      <c r="D94" s="545"/>
      <c r="E94" s="545"/>
      <c r="F94" s="545"/>
      <c r="G94" s="545"/>
      <c r="H94" s="545"/>
      <c r="I94" s="545"/>
      <c r="J94" s="545"/>
      <c r="K94" s="545"/>
      <c r="L94" s="545"/>
      <c r="M94" s="545"/>
      <c r="N94" s="545"/>
      <c r="O94" s="545"/>
      <c r="P94" s="545"/>
      <c r="Q94" s="545"/>
      <c r="R94" s="545"/>
      <c r="S94" s="545"/>
      <c r="T94" s="545"/>
      <c r="U94" s="545"/>
      <c r="V94" s="545"/>
      <c r="W94" s="545"/>
    </row>
    <row r="95" ht="18.0" customHeight="1">
      <c r="A95" s="773" t="s">
        <v>387</v>
      </c>
      <c r="B95" s="774">
        <f>B85/(B78+B79+B80+B81+B82+B83)</f>
        <v>0.04983738456</v>
      </c>
      <c r="C95" s="528"/>
      <c r="D95" s="545"/>
      <c r="E95" s="545"/>
      <c r="F95" s="545"/>
      <c r="G95" s="545"/>
      <c r="H95" s="545"/>
      <c r="I95" s="545"/>
      <c r="J95" s="545"/>
      <c r="K95" s="545"/>
      <c r="L95" s="545"/>
      <c r="M95" s="545"/>
      <c r="N95" s="545"/>
      <c r="O95" s="545"/>
      <c r="P95" s="545"/>
      <c r="Q95" s="545"/>
      <c r="R95" s="545"/>
      <c r="S95" s="545"/>
      <c r="T95" s="545"/>
      <c r="U95" s="545"/>
      <c r="V95" s="545"/>
      <c r="W95" s="545"/>
    </row>
    <row r="96" ht="36.0" customHeight="1">
      <c r="A96" s="545"/>
      <c r="B96" s="545"/>
      <c r="C96" s="545"/>
      <c r="D96" s="545"/>
      <c r="E96" s="545"/>
      <c r="F96" s="545"/>
      <c r="G96" s="545"/>
      <c r="H96" s="545"/>
      <c r="I96" s="545"/>
      <c r="J96" s="545"/>
      <c r="K96" s="545"/>
      <c r="L96" s="545"/>
      <c r="M96" s="545"/>
      <c r="N96" s="545"/>
      <c r="O96" s="545"/>
      <c r="P96" s="545"/>
      <c r="Q96" s="545"/>
      <c r="R96" s="545"/>
      <c r="S96" s="545"/>
      <c r="T96" s="545"/>
      <c r="U96" s="545"/>
      <c r="V96" s="545"/>
      <c r="W96" s="545"/>
    </row>
    <row r="97" ht="18.0" customHeight="1">
      <c r="A97" s="545"/>
      <c r="B97" s="545"/>
      <c r="C97" s="545"/>
      <c r="D97" s="545"/>
      <c r="E97" s="545"/>
      <c r="F97" s="545"/>
      <c r="G97" s="545"/>
      <c r="H97" s="545"/>
      <c r="I97" s="545"/>
      <c r="J97" s="545"/>
      <c r="K97" s="545"/>
      <c r="L97" s="545"/>
      <c r="M97" s="545"/>
      <c r="N97" s="545"/>
      <c r="O97" s="545"/>
      <c r="P97" s="545"/>
      <c r="Q97" s="545"/>
      <c r="R97" s="545"/>
      <c r="S97" s="545"/>
      <c r="T97" s="545"/>
      <c r="U97" s="545"/>
      <c r="V97" s="545"/>
      <c r="W97" s="545"/>
    </row>
    <row r="98" ht="16.5" customHeight="1">
      <c r="A98" s="545"/>
      <c r="B98" s="545"/>
      <c r="C98" s="545"/>
      <c r="D98" s="545"/>
      <c r="E98" s="545"/>
      <c r="F98" s="545"/>
      <c r="G98" s="545"/>
      <c r="H98" s="545"/>
      <c r="I98" s="545"/>
      <c r="J98" s="545"/>
      <c r="K98" s="545"/>
      <c r="L98" s="545"/>
      <c r="M98" s="545"/>
      <c r="N98" s="545"/>
      <c r="O98" s="545"/>
      <c r="P98" s="545"/>
      <c r="Q98" s="545"/>
      <c r="R98" s="545"/>
      <c r="S98" s="545"/>
      <c r="T98" s="545"/>
      <c r="U98" s="545"/>
      <c r="V98" s="545"/>
      <c r="W98" s="545"/>
    </row>
    <row r="99" ht="16.5" customHeight="1">
      <c r="A99" s="545"/>
      <c r="B99" s="545"/>
      <c r="C99" s="545"/>
      <c r="D99" s="545"/>
      <c r="E99" s="545"/>
      <c r="F99" s="545"/>
      <c r="G99" s="545"/>
      <c r="H99" s="545"/>
      <c r="I99" s="545"/>
      <c r="J99" s="545"/>
      <c r="K99" s="545"/>
      <c r="L99" s="545"/>
      <c r="M99" s="545"/>
      <c r="N99" s="545"/>
      <c r="O99" s="545"/>
      <c r="P99" s="545"/>
      <c r="Q99" s="545"/>
      <c r="R99" s="545"/>
      <c r="S99" s="545"/>
      <c r="T99" s="545"/>
      <c r="U99" s="545"/>
      <c r="V99" s="545"/>
      <c r="W99" s="545"/>
    </row>
    <row r="100" ht="16.5" customHeight="1">
      <c r="A100" s="545"/>
      <c r="B100" s="545"/>
      <c r="C100" s="545"/>
      <c r="D100" s="545"/>
      <c r="E100" s="545"/>
      <c r="F100" s="545"/>
      <c r="G100" s="545"/>
      <c r="H100" s="545"/>
      <c r="I100" s="545"/>
      <c r="J100" s="545"/>
      <c r="K100" s="545"/>
      <c r="L100" s="545"/>
      <c r="M100" s="545"/>
      <c r="N100" s="545"/>
      <c r="O100" s="545"/>
      <c r="P100" s="545"/>
      <c r="Q100" s="545"/>
      <c r="R100" s="545"/>
      <c r="S100" s="545"/>
      <c r="T100" s="545"/>
      <c r="U100" s="545"/>
      <c r="V100" s="545"/>
      <c r="W100" s="545"/>
    </row>
    <row r="101" ht="16.5" customHeight="1">
      <c r="A101" s="545"/>
      <c r="B101" s="545"/>
      <c r="C101" s="545"/>
      <c r="D101" s="545"/>
      <c r="E101" s="545"/>
      <c r="F101" s="545"/>
      <c r="G101" s="545"/>
      <c r="H101" s="545"/>
      <c r="I101" s="545"/>
      <c r="J101" s="545"/>
      <c r="K101" s="545"/>
      <c r="L101" s="545"/>
      <c r="M101" s="545"/>
      <c r="N101" s="545"/>
      <c r="O101" s="545"/>
      <c r="P101" s="545"/>
      <c r="Q101" s="545"/>
      <c r="R101" s="545"/>
      <c r="S101" s="545"/>
      <c r="T101" s="545"/>
      <c r="U101" s="545"/>
      <c r="V101" s="545"/>
      <c r="W101" s="545"/>
    </row>
    <row r="102" ht="16.5" customHeight="1">
      <c r="A102" s="545"/>
      <c r="B102" s="545"/>
      <c r="C102" s="545"/>
      <c r="D102" s="545"/>
      <c r="E102" s="545"/>
      <c r="F102" s="545"/>
      <c r="G102" s="545"/>
      <c r="H102" s="545"/>
      <c r="I102" s="545"/>
      <c r="J102" s="545"/>
      <c r="K102" s="545"/>
      <c r="L102" s="545"/>
      <c r="M102" s="545"/>
      <c r="N102" s="545"/>
      <c r="O102" s="545"/>
      <c r="P102" s="545"/>
      <c r="Q102" s="545"/>
      <c r="R102" s="545"/>
      <c r="S102" s="545"/>
      <c r="T102" s="545"/>
      <c r="U102" s="545"/>
      <c r="V102" s="545"/>
      <c r="W102" s="545"/>
    </row>
    <row r="103" ht="16.5" customHeight="1">
      <c r="A103" s="545"/>
      <c r="B103" s="545"/>
      <c r="C103" s="545"/>
      <c r="D103" s="545"/>
      <c r="E103" s="545"/>
      <c r="F103" s="545"/>
      <c r="G103" s="545"/>
      <c r="H103" s="545"/>
      <c r="I103" s="545"/>
      <c r="J103" s="545"/>
      <c r="K103" s="545"/>
      <c r="L103" s="545"/>
      <c r="M103" s="545"/>
      <c r="N103" s="545"/>
      <c r="O103" s="545"/>
      <c r="P103" s="545"/>
      <c r="Q103" s="545"/>
      <c r="R103" s="545"/>
      <c r="S103" s="545"/>
      <c r="T103" s="545"/>
      <c r="U103" s="545"/>
      <c r="V103" s="545"/>
      <c r="W103" s="545"/>
    </row>
    <row r="104" ht="16.5" customHeight="1">
      <c r="A104" s="545"/>
      <c r="B104" s="545"/>
      <c r="C104" s="545"/>
      <c r="D104" s="545"/>
      <c r="E104" s="545"/>
      <c r="F104" s="545"/>
      <c r="G104" s="545"/>
      <c r="H104" s="545"/>
      <c r="I104" s="545"/>
      <c r="J104" s="545"/>
      <c r="K104" s="545"/>
      <c r="L104" s="545"/>
      <c r="M104" s="545"/>
      <c r="N104" s="545"/>
      <c r="O104" s="545"/>
      <c r="P104" s="545"/>
      <c r="Q104" s="545"/>
      <c r="R104" s="545"/>
      <c r="S104" s="545"/>
      <c r="T104" s="545"/>
      <c r="U104" s="545"/>
      <c r="V104" s="545"/>
      <c r="W104" s="545"/>
    </row>
    <row r="105" ht="16.5" customHeight="1">
      <c r="A105" s="545"/>
      <c r="B105" s="545"/>
      <c r="C105" s="545"/>
      <c r="D105" s="545"/>
      <c r="E105" s="545"/>
      <c r="F105" s="545"/>
      <c r="G105" s="545"/>
      <c r="H105" s="545"/>
      <c r="I105" s="545"/>
      <c r="J105" s="545"/>
      <c r="K105" s="545"/>
      <c r="L105" s="545"/>
      <c r="M105" s="545"/>
      <c r="N105" s="545"/>
      <c r="O105" s="545"/>
      <c r="P105" s="545"/>
      <c r="Q105" s="545"/>
      <c r="R105" s="545"/>
      <c r="S105" s="545"/>
      <c r="T105" s="545"/>
      <c r="U105" s="545"/>
      <c r="V105" s="545"/>
      <c r="W105" s="545"/>
    </row>
    <row r="106" ht="16.5" customHeight="1">
      <c r="A106" s="545"/>
      <c r="B106" s="545"/>
      <c r="C106" s="545"/>
      <c r="D106" s="545"/>
      <c r="E106" s="545"/>
      <c r="F106" s="545"/>
      <c r="G106" s="545"/>
      <c r="H106" s="545"/>
      <c r="I106" s="545"/>
      <c r="J106" s="545"/>
      <c r="K106" s="545"/>
      <c r="L106" s="545"/>
      <c r="M106" s="545"/>
      <c r="N106" s="545"/>
      <c r="O106" s="545"/>
      <c r="P106" s="545"/>
      <c r="Q106" s="545"/>
      <c r="R106" s="545"/>
      <c r="S106" s="545"/>
      <c r="T106" s="545"/>
      <c r="U106" s="545"/>
      <c r="V106" s="545"/>
      <c r="W106" s="545"/>
    </row>
    <row r="107" ht="16.5" customHeight="1">
      <c r="A107" s="545"/>
      <c r="B107" s="545"/>
      <c r="C107" s="545"/>
      <c r="D107" s="545"/>
      <c r="E107" s="545"/>
      <c r="F107" s="545"/>
      <c r="G107" s="545"/>
      <c r="H107" s="545"/>
      <c r="I107" s="545"/>
      <c r="J107" s="545"/>
      <c r="K107" s="545"/>
      <c r="L107" s="545"/>
      <c r="M107" s="545"/>
      <c r="N107" s="545"/>
      <c r="O107" s="545"/>
      <c r="P107" s="545"/>
      <c r="Q107" s="545"/>
      <c r="R107" s="545"/>
      <c r="S107" s="545"/>
      <c r="T107" s="545"/>
      <c r="U107" s="545"/>
      <c r="V107" s="545"/>
      <c r="W107" s="545"/>
    </row>
    <row r="108" ht="16.5" customHeight="1">
      <c r="A108" s="545"/>
      <c r="B108" s="545"/>
      <c r="C108" s="545"/>
      <c r="D108" s="545"/>
      <c r="E108" s="545"/>
      <c r="F108" s="545"/>
      <c r="G108" s="545"/>
      <c r="H108" s="545"/>
      <c r="I108" s="545"/>
      <c r="J108" s="545"/>
      <c r="K108" s="545"/>
      <c r="L108" s="545"/>
      <c r="M108" s="545"/>
      <c r="N108" s="545"/>
      <c r="O108" s="545"/>
      <c r="P108" s="545"/>
      <c r="Q108" s="545"/>
      <c r="R108" s="545"/>
      <c r="S108" s="545"/>
      <c r="T108" s="545"/>
      <c r="U108" s="545"/>
      <c r="V108" s="545"/>
      <c r="W108" s="545"/>
    </row>
    <row r="109" ht="16.5" customHeight="1">
      <c r="A109" s="545"/>
      <c r="B109" s="545"/>
      <c r="C109" s="545"/>
      <c r="D109" s="545"/>
      <c r="E109" s="545"/>
      <c r="F109" s="545"/>
      <c r="G109" s="545"/>
      <c r="H109" s="545"/>
      <c r="I109" s="545"/>
      <c r="J109" s="545"/>
      <c r="K109" s="545"/>
      <c r="L109" s="545"/>
      <c r="M109" s="545"/>
      <c r="N109" s="545"/>
      <c r="O109" s="545"/>
      <c r="P109" s="545"/>
      <c r="Q109" s="545"/>
      <c r="R109" s="545"/>
      <c r="S109" s="545"/>
      <c r="T109" s="545"/>
      <c r="U109" s="545"/>
      <c r="V109" s="545"/>
      <c r="W109" s="545"/>
    </row>
    <row r="110" ht="16.5" customHeight="1">
      <c r="A110" s="545"/>
      <c r="B110" s="545"/>
      <c r="C110" s="545"/>
      <c r="D110" s="545"/>
      <c r="E110" s="545"/>
      <c r="F110" s="545"/>
      <c r="G110" s="545"/>
      <c r="H110" s="545"/>
      <c r="I110" s="545"/>
      <c r="J110" s="545"/>
      <c r="K110" s="545"/>
      <c r="L110" s="545"/>
      <c r="M110" s="545"/>
      <c r="N110" s="545"/>
      <c r="O110" s="545"/>
      <c r="P110" s="545"/>
      <c r="Q110" s="545"/>
      <c r="R110" s="545"/>
      <c r="S110" s="545"/>
      <c r="T110" s="545"/>
      <c r="U110" s="545"/>
      <c r="V110" s="545"/>
      <c r="W110" s="545"/>
    </row>
    <row r="111" ht="16.5" customHeight="1">
      <c r="A111" s="545"/>
      <c r="B111" s="545"/>
      <c r="C111" s="545"/>
      <c r="D111" s="545"/>
      <c r="E111" s="545"/>
      <c r="F111" s="545"/>
      <c r="G111" s="545"/>
      <c r="H111" s="545"/>
      <c r="I111" s="545"/>
      <c r="J111" s="545"/>
      <c r="K111" s="545"/>
      <c r="L111" s="545"/>
      <c r="M111" s="545"/>
      <c r="N111" s="545"/>
      <c r="O111" s="545"/>
      <c r="P111" s="545"/>
      <c r="Q111" s="545"/>
      <c r="R111" s="545"/>
      <c r="S111" s="545"/>
      <c r="T111" s="545"/>
      <c r="U111" s="545"/>
      <c r="V111" s="545"/>
      <c r="W111" s="545"/>
    </row>
    <row r="112" ht="16.5" customHeight="1">
      <c r="A112" s="545"/>
      <c r="B112" s="545"/>
      <c r="C112" s="545"/>
      <c r="D112" s="545"/>
      <c r="E112" s="545"/>
      <c r="F112" s="545"/>
      <c r="G112" s="545"/>
      <c r="H112" s="545"/>
      <c r="I112" s="545"/>
      <c r="J112" s="545"/>
      <c r="K112" s="545"/>
      <c r="L112" s="545"/>
      <c r="M112" s="545"/>
      <c r="N112" s="545"/>
      <c r="O112" s="545"/>
      <c r="P112" s="545"/>
      <c r="Q112" s="545"/>
      <c r="R112" s="545"/>
      <c r="S112" s="545"/>
      <c r="T112" s="545"/>
      <c r="U112" s="545"/>
      <c r="V112" s="545"/>
      <c r="W112" s="545"/>
    </row>
    <row r="113" ht="16.5" customHeight="1">
      <c r="A113" s="545"/>
      <c r="B113" s="545"/>
      <c r="C113" s="545"/>
      <c r="D113" s="545"/>
      <c r="E113" s="545"/>
      <c r="F113" s="545"/>
      <c r="G113" s="545"/>
      <c r="H113" s="545"/>
      <c r="I113" s="545"/>
      <c r="J113" s="545"/>
      <c r="K113" s="545"/>
      <c r="L113" s="545"/>
      <c r="M113" s="545"/>
      <c r="N113" s="545"/>
      <c r="O113" s="545"/>
      <c r="P113" s="545"/>
      <c r="Q113" s="545"/>
      <c r="R113" s="545"/>
      <c r="S113" s="545"/>
      <c r="T113" s="545"/>
      <c r="U113" s="545"/>
      <c r="V113" s="545"/>
      <c r="W113" s="545"/>
    </row>
    <row r="114" ht="16.5" customHeight="1">
      <c r="A114" s="545"/>
      <c r="B114" s="545"/>
      <c r="C114" s="545"/>
      <c r="D114" s="545"/>
      <c r="E114" s="545"/>
      <c r="F114" s="545"/>
      <c r="G114" s="545"/>
      <c r="H114" s="545"/>
      <c r="I114" s="545"/>
      <c r="J114" s="545"/>
      <c r="K114" s="545"/>
      <c r="L114" s="545"/>
      <c r="M114" s="545"/>
      <c r="N114" s="545"/>
      <c r="O114" s="545"/>
      <c r="P114" s="545"/>
      <c r="Q114" s="545"/>
      <c r="R114" s="545"/>
      <c r="S114" s="545"/>
      <c r="T114" s="545"/>
      <c r="U114" s="545"/>
      <c r="V114" s="545"/>
      <c r="W114" s="545"/>
    </row>
    <row r="115" ht="16.5" customHeight="1">
      <c r="A115" s="545"/>
      <c r="B115" s="545"/>
      <c r="C115" s="545"/>
      <c r="D115" s="775"/>
      <c r="E115" s="775"/>
      <c r="F115" s="775"/>
      <c r="G115" s="775"/>
      <c r="H115" s="775"/>
      <c r="I115" s="775"/>
      <c r="J115" s="775"/>
      <c r="K115" s="775"/>
      <c r="L115" s="775"/>
      <c r="M115" s="775"/>
      <c r="N115" s="775"/>
      <c r="O115" s="775"/>
      <c r="P115" s="775"/>
      <c r="Q115" s="775"/>
      <c r="R115" s="775"/>
      <c r="S115" s="775"/>
      <c r="T115" s="775"/>
      <c r="U115" s="775"/>
      <c r="V115" s="775"/>
      <c r="W115" s="775"/>
    </row>
    <row r="116" ht="16.5" customHeight="1">
      <c r="A116" s="545"/>
      <c r="B116" s="545"/>
      <c r="C116" s="545"/>
      <c r="D116" s="545"/>
      <c r="E116" s="545"/>
      <c r="F116" s="545"/>
      <c r="G116" s="545"/>
      <c r="H116" s="545"/>
      <c r="I116" s="545"/>
      <c r="J116" s="545"/>
      <c r="K116" s="545"/>
      <c r="L116" s="545"/>
      <c r="M116" s="545"/>
      <c r="N116" s="545"/>
      <c r="O116" s="545"/>
      <c r="P116" s="545"/>
      <c r="Q116" s="545"/>
      <c r="R116" s="545"/>
      <c r="S116" s="545"/>
      <c r="T116" s="545"/>
      <c r="U116" s="545"/>
      <c r="V116" s="545"/>
      <c r="W116" s="545"/>
    </row>
    <row r="117" ht="16.5" customHeight="1">
      <c r="A117" s="545"/>
      <c r="B117" s="545"/>
      <c r="C117" s="545"/>
      <c r="D117" s="775"/>
      <c r="E117" s="775"/>
      <c r="F117" s="775"/>
      <c r="G117" s="775"/>
      <c r="H117" s="775"/>
      <c r="I117" s="775"/>
      <c r="J117" s="775"/>
      <c r="K117" s="775"/>
      <c r="L117" s="775"/>
      <c r="M117" s="775"/>
      <c r="N117" s="775"/>
      <c r="O117" s="775"/>
      <c r="P117" s="775"/>
      <c r="Q117" s="775"/>
      <c r="R117" s="775"/>
      <c r="S117" s="775"/>
      <c r="T117" s="775"/>
      <c r="U117" s="775"/>
      <c r="V117" s="775"/>
      <c r="W117" s="775"/>
    </row>
    <row r="118" ht="16.5" customHeight="1">
      <c r="A118" s="545"/>
      <c r="B118" s="545"/>
      <c r="C118" s="545"/>
      <c r="D118" s="775"/>
      <c r="E118" s="775"/>
      <c r="F118" s="775"/>
      <c r="G118" s="775"/>
      <c r="H118" s="775"/>
      <c r="I118" s="775"/>
      <c r="J118" s="775"/>
      <c r="K118" s="775"/>
      <c r="L118" s="775"/>
      <c r="M118" s="775"/>
      <c r="N118" s="775"/>
      <c r="O118" s="775"/>
      <c r="P118" s="775"/>
      <c r="Q118" s="775"/>
      <c r="R118" s="775"/>
      <c r="S118" s="775"/>
      <c r="T118" s="775"/>
      <c r="U118" s="775"/>
      <c r="V118" s="775"/>
      <c r="W118" s="775"/>
    </row>
    <row r="119" ht="16.5" customHeight="1">
      <c r="A119" s="545"/>
      <c r="B119" s="545"/>
      <c r="C119" s="545"/>
      <c r="D119" s="775"/>
      <c r="E119" s="775"/>
      <c r="F119" s="775"/>
      <c r="G119" s="775"/>
      <c r="H119" s="775"/>
      <c r="I119" s="775"/>
      <c r="J119" s="775"/>
      <c r="K119" s="775"/>
      <c r="L119" s="775"/>
      <c r="M119" s="775"/>
      <c r="N119" s="775"/>
      <c r="O119" s="775"/>
      <c r="P119" s="775"/>
      <c r="Q119" s="775"/>
      <c r="R119" s="775"/>
      <c r="S119" s="775"/>
      <c r="T119" s="775"/>
      <c r="U119" s="775"/>
      <c r="V119" s="775"/>
      <c r="W119" s="775"/>
    </row>
    <row r="120" ht="16.5" customHeight="1">
      <c r="A120" s="545"/>
      <c r="B120" s="545"/>
      <c r="C120" s="545"/>
      <c r="D120" s="775"/>
      <c r="E120" s="775"/>
      <c r="F120" s="775"/>
      <c r="G120" s="775"/>
      <c r="H120" s="775"/>
      <c r="I120" s="775"/>
      <c r="J120" s="775"/>
      <c r="K120" s="775"/>
      <c r="L120" s="775"/>
      <c r="M120" s="775"/>
      <c r="N120" s="775"/>
      <c r="O120" s="775"/>
      <c r="P120" s="775"/>
      <c r="Q120" s="775"/>
      <c r="R120" s="775"/>
      <c r="S120" s="775"/>
      <c r="T120" s="775"/>
      <c r="U120" s="775"/>
      <c r="V120" s="775"/>
      <c r="W120" s="775"/>
    </row>
    <row r="121" ht="16.5" customHeight="1">
      <c r="A121" s="545"/>
      <c r="B121" s="545"/>
      <c r="C121" s="545"/>
      <c r="D121" s="775"/>
      <c r="E121" s="775"/>
      <c r="F121" s="775"/>
      <c r="G121" s="775"/>
      <c r="H121" s="775"/>
      <c r="I121" s="775"/>
      <c r="J121" s="775"/>
      <c r="K121" s="775"/>
      <c r="L121" s="775"/>
      <c r="M121" s="775"/>
      <c r="N121" s="775"/>
      <c r="O121" s="775"/>
      <c r="P121" s="775"/>
      <c r="Q121" s="775"/>
      <c r="R121" s="775"/>
      <c r="S121" s="775"/>
      <c r="T121" s="775"/>
      <c r="U121" s="775"/>
      <c r="V121" s="775"/>
      <c r="W121" s="775"/>
    </row>
    <row r="122" ht="16.5" customHeight="1">
      <c r="A122" s="545"/>
      <c r="B122" s="545"/>
      <c r="C122" s="545"/>
      <c r="D122" s="545"/>
      <c r="E122" s="545"/>
      <c r="F122" s="545"/>
      <c r="G122" s="545"/>
      <c r="H122" s="545"/>
      <c r="I122" s="545"/>
      <c r="J122" s="545"/>
      <c r="K122" s="545"/>
      <c r="L122" s="545"/>
      <c r="M122" s="545"/>
      <c r="N122" s="545"/>
      <c r="O122" s="545"/>
      <c r="P122" s="545"/>
      <c r="Q122" s="545"/>
      <c r="R122" s="545"/>
      <c r="S122" s="545"/>
      <c r="T122" s="545"/>
      <c r="U122" s="545"/>
      <c r="V122" s="545"/>
      <c r="W122" s="545"/>
    </row>
    <row r="123" ht="16.5" customHeight="1">
      <c r="A123" s="545"/>
      <c r="B123" s="545"/>
      <c r="C123" s="545"/>
      <c r="D123" s="775"/>
      <c r="E123" s="775"/>
      <c r="F123" s="775"/>
      <c r="G123" s="775"/>
      <c r="H123" s="775"/>
      <c r="I123" s="775"/>
      <c r="J123" s="775"/>
      <c r="K123" s="775"/>
      <c r="L123" s="775"/>
      <c r="M123" s="775"/>
      <c r="N123" s="775"/>
      <c r="O123" s="775"/>
      <c r="P123" s="775"/>
      <c r="Q123" s="775"/>
      <c r="R123" s="775"/>
      <c r="S123" s="775"/>
      <c r="T123" s="775"/>
      <c r="U123" s="775"/>
      <c r="V123" s="775"/>
      <c r="W123" s="775"/>
    </row>
    <row r="124" ht="16.5" customHeight="1">
      <c r="A124" s="545"/>
      <c r="B124" s="545"/>
      <c r="C124" s="545"/>
      <c r="D124" s="775"/>
      <c r="E124" s="775"/>
      <c r="F124" s="775"/>
      <c r="G124" s="775"/>
      <c r="H124" s="775"/>
      <c r="I124" s="775"/>
      <c r="J124" s="775"/>
      <c r="K124" s="775"/>
      <c r="L124" s="775"/>
      <c r="M124" s="775"/>
      <c r="N124" s="775"/>
      <c r="O124" s="775"/>
      <c r="P124" s="775"/>
      <c r="Q124" s="775"/>
      <c r="R124" s="775"/>
      <c r="S124" s="775"/>
      <c r="T124" s="775"/>
      <c r="U124" s="775"/>
      <c r="V124" s="775"/>
      <c r="W124" s="775"/>
    </row>
    <row r="125" ht="16.5" customHeight="1">
      <c r="A125" s="545"/>
      <c r="B125" s="545"/>
      <c r="C125" s="545"/>
      <c r="D125" s="775"/>
      <c r="E125" s="775"/>
      <c r="F125" s="775"/>
      <c r="G125" s="775"/>
      <c r="H125" s="775"/>
      <c r="I125" s="775"/>
      <c r="J125" s="775"/>
      <c r="K125" s="775"/>
      <c r="L125" s="775"/>
      <c r="M125" s="775"/>
      <c r="N125" s="775"/>
      <c r="O125" s="775"/>
      <c r="P125" s="775"/>
      <c r="Q125" s="775"/>
      <c r="R125" s="775"/>
      <c r="S125" s="775"/>
      <c r="T125" s="775"/>
      <c r="U125" s="775"/>
      <c r="V125" s="775"/>
      <c r="W125" s="775"/>
    </row>
    <row r="126" ht="16.5" customHeight="1">
      <c r="A126" s="545"/>
      <c r="B126" s="545"/>
      <c r="C126" s="545"/>
      <c r="D126" s="775"/>
      <c r="E126" s="775"/>
      <c r="F126" s="775"/>
      <c r="G126" s="775"/>
      <c r="H126" s="775"/>
      <c r="I126" s="775"/>
      <c r="J126" s="775"/>
      <c r="K126" s="775"/>
      <c r="L126" s="775"/>
      <c r="M126" s="775"/>
      <c r="N126" s="775"/>
      <c r="O126" s="775"/>
      <c r="P126" s="775"/>
      <c r="Q126" s="775"/>
      <c r="R126" s="775"/>
      <c r="S126" s="775"/>
      <c r="T126" s="775"/>
      <c r="U126" s="775"/>
      <c r="V126" s="775"/>
      <c r="W126" s="775"/>
    </row>
    <row r="127" ht="16.5" customHeight="1">
      <c r="A127" s="545"/>
      <c r="B127" s="545"/>
      <c r="C127" s="545"/>
      <c r="D127" s="775"/>
      <c r="E127" s="775"/>
      <c r="F127" s="775"/>
      <c r="G127" s="775"/>
      <c r="H127" s="775"/>
      <c r="I127" s="775"/>
      <c r="J127" s="775"/>
      <c r="K127" s="775"/>
      <c r="L127" s="775"/>
      <c r="M127" s="775"/>
      <c r="N127" s="775"/>
      <c r="O127" s="775"/>
      <c r="P127" s="775"/>
      <c r="Q127" s="775"/>
      <c r="R127" s="775"/>
      <c r="S127" s="775"/>
      <c r="T127" s="775"/>
      <c r="U127" s="775"/>
      <c r="V127" s="775"/>
      <c r="W127" s="775"/>
    </row>
    <row r="128" ht="16.5" customHeight="1">
      <c r="A128" s="545"/>
      <c r="B128" s="545"/>
      <c r="C128" s="545"/>
      <c r="D128" s="775"/>
      <c r="E128" s="775"/>
      <c r="F128" s="775"/>
      <c r="G128" s="775"/>
      <c r="H128" s="775"/>
      <c r="I128" s="775"/>
      <c r="J128" s="775"/>
      <c r="K128" s="775"/>
      <c r="L128" s="775"/>
      <c r="M128" s="775"/>
      <c r="N128" s="775"/>
      <c r="O128" s="775"/>
      <c r="P128" s="775"/>
      <c r="Q128" s="775"/>
      <c r="R128" s="775"/>
      <c r="S128" s="775"/>
      <c r="T128" s="775"/>
      <c r="U128" s="775"/>
      <c r="V128" s="775"/>
      <c r="W128" s="775"/>
    </row>
    <row r="129" ht="16.5" customHeight="1">
      <c r="A129" s="545"/>
      <c r="B129" s="545"/>
      <c r="C129" s="545"/>
      <c r="D129" s="775"/>
      <c r="E129" s="775"/>
      <c r="F129" s="775"/>
      <c r="G129" s="775"/>
      <c r="H129" s="775"/>
      <c r="I129" s="775"/>
      <c r="J129" s="775"/>
      <c r="K129" s="775"/>
      <c r="L129" s="775"/>
      <c r="M129" s="775"/>
      <c r="N129" s="775"/>
      <c r="O129" s="775"/>
      <c r="P129" s="775"/>
      <c r="Q129" s="775"/>
      <c r="R129" s="775"/>
      <c r="S129" s="775"/>
      <c r="T129" s="775"/>
      <c r="U129" s="775"/>
      <c r="V129" s="775"/>
      <c r="W129" s="775"/>
    </row>
    <row r="130" ht="16.5" customHeight="1">
      <c r="A130" s="545"/>
      <c r="B130" s="545"/>
      <c r="C130" s="545"/>
      <c r="D130" s="775"/>
      <c r="E130" s="775"/>
      <c r="F130" s="775"/>
      <c r="G130" s="775"/>
      <c r="H130" s="775"/>
      <c r="I130" s="775"/>
      <c r="J130" s="775"/>
      <c r="K130" s="775"/>
      <c r="L130" s="775"/>
      <c r="M130" s="775"/>
      <c r="N130" s="775"/>
      <c r="O130" s="775"/>
      <c r="P130" s="775"/>
      <c r="Q130" s="775"/>
      <c r="R130" s="775"/>
      <c r="S130" s="775"/>
      <c r="T130" s="775"/>
      <c r="U130" s="775"/>
      <c r="V130" s="775"/>
      <c r="W130" s="775"/>
    </row>
    <row r="131" ht="16.5" customHeight="1">
      <c r="A131" s="545"/>
      <c r="B131" s="545"/>
      <c r="C131" s="545"/>
      <c r="D131" s="775"/>
      <c r="E131" s="775"/>
      <c r="F131" s="775"/>
      <c r="G131" s="775"/>
      <c r="H131" s="775"/>
      <c r="I131" s="775"/>
      <c r="J131" s="775"/>
      <c r="K131" s="775"/>
      <c r="L131" s="775"/>
      <c r="M131" s="775"/>
      <c r="N131" s="775"/>
      <c r="O131" s="775"/>
      <c r="P131" s="775"/>
      <c r="Q131" s="775"/>
      <c r="R131" s="775"/>
      <c r="S131" s="775"/>
      <c r="T131" s="775"/>
      <c r="U131" s="775"/>
      <c r="V131" s="775"/>
      <c r="W131" s="775"/>
    </row>
    <row r="132" ht="16.5" customHeight="1">
      <c r="A132" s="545"/>
      <c r="B132" s="545"/>
      <c r="C132" s="545"/>
      <c r="D132" s="775"/>
      <c r="E132" s="775"/>
      <c r="F132" s="775"/>
      <c r="G132" s="775"/>
      <c r="H132" s="775"/>
      <c r="I132" s="775"/>
      <c r="J132" s="775"/>
      <c r="K132" s="775"/>
      <c r="L132" s="775"/>
      <c r="M132" s="775"/>
      <c r="N132" s="775"/>
      <c r="O132" s="775"/>
      <c r="P132" s="775"/>
      <c r="Q132" s="775"/>
      <c r="R132" s="775"/>
      <c r="S132" s="775"/>
      <c r="T132" s="775"/>
      <c r="U132" s="775"/>
      <c r="V132" s="775"/>
      <c r="W132" s="775"/>
    </row>
    <row r="133" ht="16.5" customHeight="1">
      <c r="A133" s="545"/>
      <c r="B133" s="545"/>
      <c r="C133" s="545"/>
      <c r="D133" s="545"/>
      <c r="E133" s="545"/>
      <c r="F133" s="545"/>
      <c r="G133" s="545"/>
      <c r="H133" s="545"/>
      <c r="I133" s="545"/>
      <c r="J133" s="545"/>
      <c r="K133" s="545"/>
      <c r="L133" s="545"/>
      <c r="M133" s="545"/>
      <c r="N133" s="545"/>
      <c r="O133" s="545"/>
      <c r="P133" s="545"/>
      <c r="Q133" s="545"/>
      <c r="R133" s="545"/>
      <c r="S133" s="545"/>
      <c r="T133" s="545"/>
      <c r="U133" s="545"/>
      <c r="V133" s="545"/>
      <c r="W133" s="545"/>
    </row>
    <row r="134" ht="16.5" customHeight="1">
      <c r="A134" s="545"/>
      <c r="B134" s="545"/>
      <c r="C134" s="545"/>
      <c r="D134" s="545"/>
      <c r="E134" s="545"/>
      <c r="F134" s="545"/>
      <c r="G134" s="545"/>
      <c r="H134" s="545"/>
      <c r="I134" s="545"/>
      <c r="J134" s="545"/>
      <c r="K134" s="545"/>
      <c r="L134" s="545"/>
      <c r="M134" s="545"/>
      <c r="N134" s="545"/>
      <c r="O134" s="545"/>
      <c r="P134" s="545"/>
      <c r="Q134" s="545"/>
      <c r="R134" s="545"/>
      <c r="S134" s="545"/>
      <c r="T134" s="545"/>
      <c r="U134" s="545"/>
      <c r="V134" s="545"/>
      <c r="W134" s="545"/>
    </row>
    <row r="135" ht="16.5" customHeight="1">
      <c r="A135" s="775"/>
      <c r="B135" s="775"/>
      <c r="C135" s="775"/>
      <c r="D135" s="775"/>
      <c r="E135" s="775"/>
      <c r="F135" s="775"/>
      <c r="G135" s="775"/>
      <c r="H135" s="775"/>
      <c r="I135" s="775"/>
      <c r="J135" s="775"/>
      <c r="K135" s="775"/>
      <c r="L135" s="775"/>
      <c r="M135" s="775"/>
      <c r="N135" s="775"/>
      <c r="O135" s="775"/>
      <c r="P135" s="775"/>
      <c r="Q135" s="775"/>
      <c r="R135" s="775"/>
      <c r="S135" s="775"/>
      <c r="T135" s="775"/>
      <c r="U135" s="775"/>
      <c r="V135" s="775"/>
      <c r="W135" s="775"/>
    </row>
    <row r="136" ht="16.5" customHeight="1">
      <c r="A136" s="545"/>
      <c r="B136" s="545"/>
      <c r="C136" s="545"/>
      <c r="D136" s="775"/>
      <c r="E136" s="775"/>
      <c r="F136" s="775"/>
      <c r="G136" s="775"/>
      <c r="H136" s="775"/>
      <c r="I136" s="775"/>
      <c r="J136" s="775"/>
      <c r="K136" s="775"/>
      <c r="L136" s="775"/>
      <c r="M136" s="775"/>
      <c r="N136" s="775"/>
      <c r="O136" s="775"/>
      <c r="P136" s="775"/>
      <c r="Q136" s="775"/>
      <c r="R136" s="775"/>
      <c r="S136" s="775"/>
      <c r="T136" s="775"/>
      <c r="U136" s="775"/>
      <c r="V136" s="775"/>
      <c r="W136" s="775"/>
    </row>
    <row r="137" ht="16.5" customHeight="1">
      <c r="A137" s="545"/>
      <c r="B137" s="545"/>
      <c r="C137" s="545"/>
      <c r="D137" s="545"/>
      <c r="E137" s="545"/>
      <c r="F137" s="545"/>
      <c r="G137" s="545"/>
      <c r="H137" s="545"/>
      <c r="I137" s="545"/>
      <c r="J137" s="545"/>
      <c r="K137" s="545"/>
      <c r="L137" s="545"/>
      <c r="M137" s="545"/>
      <c r="N137" s="545"/>
      <c r="O137" s="545"/>
      <c r="P137" s="545"/>
      <c r="Q137" s="545"/>
      <c r="R137" s="545"/>
      <c r="S137" s="545"/>
      <c r="T137" s="545"/>
      <c r="U137" s="545"/>
      <c r="V137" s="545"/>
      <c r="W137" s="545"/>
    </row>
    <row r="138" ht="16.5" customHeight="1">
      <c r="A138" s="545"/>
      <c r="B138" s="545"/>
      <c r="C138" s="545"/>
      <c r="D138" s="545"/>
      <c r="E138" s="545"/>
      <c r="F138" s="545"/>
      <c r="G138" s="545"/>
      <c r="H138" s="545"/>
      <c r="I138" s="545"/>
      <c r="J138" s="545"/>
      <c r="K138" s="545"/>
      <c r="L138" s="545"/>
      <c r="M138" s="545"/>
      <c r="N138" s="545"/>
      <c r="O138" s="545"/>
      <c r="P138" s="545"/>
      <c r="Q138" s="545"/>
      <c r="R138" s="545"/>
      <c r="S138" s="545"/>
      <c r="T138" s="545"/>
      <c r="U138" s="545"/>
      <c r="V138" s="545"/>
      <c r="W138" s="545"/>
    </row>
    <row r="139" ht="16.5" customHeight="1">
      <c r="A139" s="545"/>
      <c r="B139" s="545"/>
      <c r="C139" s="545"/>
      <c r="D139" s="545"/>
      <c r="E139" s="545"/>
      <c r="F139" s="545"/>
      <c r="G139" s="545"/>
      <c r="H139" s="545"/>
      <c r="I139" s="545"/>
      <c r="J139" s="545"/>
      <c r="K139" s="545"/>
      <c r="L139" s="545"/>
      <c r="M139" s="545"/>
      <c r="N139" s="545"/>
      <c r="O139" s="545"/>
      <c r="P139" s="545"/>
      <c r="Q139" s="545"/>
      <c r="R139" s="545"/>
      <c r="S139" s="545"/>
      <c r="T139" s="545"/>
      <c r="U139" s="545"/>
      <c r="V139" s="545"/>
      <c r="W139" s="545"/>
    </row>
    <row r="140" ht="16.5" customHeight="1">
      <c r="A140" s="545"/>
      <c r="B140" s="545"/>
      <c r="C140" s="545"/>
      <c r="D140" s="545"/>
      <c r="E140" s="545"/>
      <c r="F140" s="545"/>
      <c r="G140" s="545"/>
      <c r="H140" s="545"/>
      <c r="I140" s="545"/>
      <c r="J140" s="545"/>
      <c r="K140" s="545"/>
      <c r="L140" s="545"/>
      <c r="M140" s="545"/>
      <c r="N140" s="545"/>
      <c r="O140" s="545"/>
      <c r="P140" s="545"/>
      <c r="Q140" s="545"/>
      <c r="R140" s="545"/>
      <c r="S140" s="545"/>
      <c r="T140" s="545"/>
      <c r="U140" s="545"/>
      <c r="V140" s="545"/>
      <c r="W140" s="545"/>
    </row>
    <row r="141" ht="16.5" customHeight="1">
      <c r="A141" s="545"/>
      <c r="B141" s="545"/>
      <c r="C141" s="545"/>
      <c r="D141" s="545"/>
      <c r="E141" s="545"/>
      <c r="F141" s="545"/>
      <c r="G141" s="545"/>
      <c r="H141" s="545"/>
      <c r="I141" s="545"/>
      <c r="J141" s="545"/>
      <c r="K141" s="545"/>
      <c r="L141" s="545"/>
      <c r="M141" s="545"/>
      <c r="N141" s="545"/>
      <c r="O141" s="545"/>
      <c r="P141" s="545"/>
      <c r="Q141" s="545"/>
      <c r="R141" s="545"/>
      <c r="S141" s="545"/>
      <c r="T141" s="545"/>
      <c r="U141" s="545"/>
      <c r="V141" s="545"/>
      <c r="W141" s="545"/>
    </row>
    <row r="142" ht="16.5" customHeight="1">
      <c r="A142" s="545"/>
      <c r="B142" s="545"/>
      <c r="C142" s="545"/>
      <c r="D142" s="545"/>
      <c r="E142" s="545"/>
      <c r="F142" s="545"/>
      <c r="G142" s="545"/>
      <c r="H142" s="545"/>
      <c r="I142" s="545"/>
      <c r="J142" s="545"/>
      <c r="K142" s="545"/>
      <c r="L142" s="545"/>
      <c r="M142" s="545"/>
      <c r="N142" s="545"/>
      <c r="O142" s="545"/>
      <c r="P142" s="545"/>
      <c r="Q142" s="545"/>
      <c r="R142" s="545"/>
      <c r="S142" s="545"/>
      <c r="T142" s="545"/>
      <c r="U142" s="545"/>
      <c r="V142" s="545"/>
      <c r="W142" s="545"/>
    </row>
    <row r="143" ht="16.5" customHeight="1">
      <c r="A143" s="545"/>
      <c r="B143" s="545"/>
      <c r="C143" s="545"/>
      <c r="D143" s="545"/>
      <c r="E143" s="545"/>
      <c r="F143" s="545"/>
      <c r="G143" s="545"/>
      <c r="H143" s="545"/>
      <c r="I143" s="545"/>
      <c r="J143" s="545"/>
      <c r="K143" s="545"/>
      <c r="L143" s="545"/>
      <c r="M143" s="545"/>
      <c r="N143" s="545"/>
      <c r="O143" s="545"/>
      <c r="P143" s="545"/>
      <c r="Q143" s="545"/>
      <c r="R143" s="545"/>
      <c r="S143" s="545"/>
      <c r="T143" s="545"/>
      <c r="U143" s="545"/>
      <c r="V143" s="545"/>
      <c r="W143" s="545"/>
    </row>
    <row r="144" ht="16.5" customHeight="1">
      <c r="A144" s="545"/>
      <c r="B144" s="545"/>
      <c r="C144" s="545"/>
      <c r="D144" s="545"/>
      <c r="E144" s="545"/>
      <c r="F144" s="545"/>
      <c r="G144" s="545"/>
      <c r="H144" s="545"/>
      <c r="I144" s="545"/>
      <c r="J144" s="545"/>
      <c r="K144" s="545"/>
      <c r="L144" s="545"/>
      <c r="M144" s="545"/>
      <c r="N144" s="545"/>
      <c r="O144" s="545"/>
      <c r="P144" s="545"/>
      <c r="Q144" s="545"/>
      <c r="R144" s="545"/>
      <c r="S144" s="545"/>
      <c r="T144" s="545"/>
      <c r="U144" s="545"/>
      <c r="V144" s="545"/>
      <c r="W144" s="545"/>
    </row>
    <row r="145" ht="16.5" customHeight="1">
      <c r="A145" s="545"/>
      <c r="B145" s="545"/>
      <c r="C145" s="545"/>
      <c r="D145" s="545"/>
      <c r="E145" s="545"/>
      <c r="F145" s="545"/>
      <c r="G145" s="545"/>
      <c r="H145" s="545"/>
      <c r="I145" s="545"/>
      <c r="J145" s="545"/>
      <c r="K145" s="545"/>
      <c r="L145" s="545"/>
      <c r="M145" s="545"/>
      <c r="N145" s="545"/>
      <c r="O145" s="545"/>
      <c r="P145" s="545"/>
      <c r="Q145" s="545"/>
      <c r="R145" s="545"/>
      <c r="S145" s="545"/>
      <c r="T145" s="545"/>
      <c r="U145" s="545"/>
      <c r="V145" s="545"/>
      <c r="W145" s="545"/>
    </row>
    <row r="146" ht="16.5" customHeight="1">
      <c r="A146" s="545"/>
      <c r="B146" s="545"/>
      <c r="C146" s="545"/>
      <c r="D146" s="545"/>
      <c r="E146" s="545"/>
      <c r="F146" s="545"/>
      <c r="G146" s="545"/>
      <c r="H146" s="545"/>
      <c r="I146" s="545"/>
      <c r="J146" s="545"/>
      <c r="K146" s="545"/>
      <c r="L146" s="545"/>
      <c r="M146" s="545"/>
      <c r="N146" s="545"/>
      <c r="O146" s="545"/>
      <c r="P146" s="545"/>
      <c r="Q146" s="545"/>
      <c r="R146" s="545"/>
      <c r="S146" s="545"/>
      <c r="T146" s="545"/>
      <c r="U146" s="545"/>
      <c r="V146" s="545"/>
      <c r="W146" s="545"/>
    </row>
    <row r="147" ht="16.5" customHeight="1">
      <c r="A147" s="545"/>
      <c r="B147" s="545"/>
      <c r="C147" s="545"/>
      <c r="D147" s="545"/>
      <c r="E147" s="545"/>
      <c r="F147" s="545"/>
      <c r="G147" s="545"/>
      <c r="H147" s="545"/>
      <c r="I147" s="545"/>
      <c r="J147" s="545"/>
      <c r="K147" s="545"/>
      <c r="L147" s="545"/>
      <c r="M147" s="545"/>
      <c r="N147" s="545"/>
      <c r="O147" s="545"/>
      <c r="P147" s="545"/>
      <c r="Q147" s="545"/>
      <c r="R147" s="545"/>
      <c r="S147" s="545"/>
      <c r="T147" s="545"/>
      <c r="U147" s="545"/>
      <c r="V147" s="545"/>
      <c r="W147" s="545"/>
    </row>
    <row r="148" ht="16.5" customHeight="1">
      <c r="A148" s="545"/>
      <c r="B148" s="545"/>
      <c r="C148" s="545"/>
      <c r="D148" s="545"/>
      <c r="E148" s="545"/>
      <c r="F148" s="545"/>
      <c r="G148" s="545"/>
      <c r="H148" s="545"/>
      <c r="I148" s="545"/>
      <c r="J148" s="545"/>
      <c r="K148" s="545"/>
      <c r="L148" s="545"/>
      <c r="M148" s="545"/>
      <c r="N148" s="545"/>
      <c r="O148" s="545"/>
      <c r="P148" s="545"/>
      <c r="Q148" s="545"/>
      <c r="R148" s="545"/>
      <c r="S148" s="545"/>
      <c r="T148" s="545"/>
      <c r="U148" s="545"/>
      <c r="V148" s="545"/>
      <c r="W148" s="545"/>
    </row>
    <row r="149" ht="16.5" customHeight="1">
      <c r="A149" s="545"/>
      <c r="B149" s="545"/>
      <c r="C149" s="545"/>
      <c r="D149" s="545"/>
      <c r="E149" s="545"/>
      <c r="F149" s="545"/>
      <c r="G149" s="545"/>
      <c r="H149" s="545"/>
      <c r="I149" s="545"/>
      <c r="J149" s="545"/>
      <c r="K149" s="545"/>
      <c r="L149" s="545"/>
      <c r="M149" s="545"/>
      <c r="N149" s="545"/>
      <c r="O149" s="545"/>
      <c r="P149" s="545"/>
      <c r="Q149" s="545"/>
      <c r="R149" s="545"/>
      <c r="S149" s="545"/>
      <c r="T149" s="545"/>
      <c r="U149" s="545"/>
      <c r="V149" s="545"/>
      <c r="W149" s="545"/>
    </row>
    <row r="150" ht="16.5" customHeight="1">
      <c r="A150" s="545"/>
      <c r="B150" s="545"/>
      <c r="C150" s="545"/>
      <c r="D150" s="545"/>
      <c r="E150" s="545"/>
      <c r="F150" s="545"/>
      <c r="G150" s="545"/>
      <c r="H150" s="545"/>
      <c r="I150" s="545"/>
      <c r="J150" s="545"/>
      <c r="K150" s="545"/>
      <c r="L150" s="545"/>
      <c r="M150" s="545"/>
      <c r="N150" s="545"/>
      <c r="O150" s="545"/>
      <c r="P150" s="545"/>
      <c r="Q150" s="545"/>
      <c r="R150" s="545"/>
      <c r="S150" s="545"/>
      <c r="T150" s="545"/>
      <c r="U150" s="545"/>
      <c r="V150" s="545"/>
      <c r="W150" s="545"/>
    </row>
    <row r="151" ht="16.5" customHeight="1">
      <c r="A151" s="545"/>
      <c r="B151" s="545"/>
      <c r="C151" s="545"/>
      <c r="D151" s="545"/>
      <c r="E151" s="545"/>
      <c r="F151" s="545"/>
      <c r="G151" s="545"/>
      <c r="H151" s="545"/>
      <c r="I151" s="545"/>
      <c r="J151" s="545"/>
      <c r="K151" s="545"/>
      <c r="L151" s="545"/>
      <c r="M151" s="545"/>
      <c r="N151" s="545"/>
      <c r="O151" s="545"/>
      <c r="P151" s="545"/>
      <c r="Q151" s="545"/>
      <c r="R151" s="545"/>
      <c r="S151" s="545"/>
      <c r="T151" s="545"/>
      <c r="U151" s="545"/>
      <c r="V151" s="545"/>
      <c r="W151" s="545"/>
    </row>
    <row r="152" ht="16.5" customHeight="1">
      <c r="A152" s="545"/>
      <c r="B152" s="545"/>
      <c r="C152" s="545"/>
      <c r="D152" s="545"/>
      <c r="E152" s="545"/>
      <c r="F152" s="545"/>
      <c r="G152" s="545"/>
      <c r="H152" s="545"/>
      <c r="I152" s="545"/>
      <c r="J152" s="545"/>
      <c r="K152" s="545"/>
      <c r="L152" s="545"/>
      <c r="M152" s="545"/>
      <c r="N152" s="545"/>
      <c r="O152" s="545"/>
      <c r="P152" s="545"/>
      <c r="Q152" s="545"/>
      <c r="R152" s="545"/>
      <c r="S152" s="545"/>
      <c r="T152" s="545"/>
      <c r="U152" s="545"/>
      <c r="V152" s="545"/>
      <c r="W152" s="545"/>
    </row>
    <row r="153" ht="16.5" customHeight="1">
      <c r="A153" s="545"/>
      <c r="B153" s="545"/>
      <c r="C153" s="545"/>
      <c r="D153" s="545"/>
      <c r="E153" s="545"/>
      <c r="F153" s="545"/>
      <c r="G153" s="545"/>
      <c r="H153" s="545"/>
      <c r="I153" s="545"/>
      <c r="J153" s="545"/>
      <c r="K153" s="545"/>
      <c r="L153" s="545"/>
      <c r="M153" s="545"/>
      <c r="N153" s="545"/>
      <c r="O153" s="545"/>
      <c r="P153" s="545"/>
      <c r="Q153" s="545"/>
      <c r="R153" s="545"/>
      <c r="S153" s="545"/>
      <c r="T153" s="545"/>
      <c r="U153" s="545"/>
      <c r="V153" s="545"/>
      <c r="W153" s="545"/>
    </row>
    <row r="154" ht="16.5" customHeight="1">
      <c r="A154" s="545"/>
      <c r="B154" s="545"/>
      <c r="C154" s="545"/>
      <c r="D154" s="545"/>
      <c r="E154" s="545"/>
      <c r="F154" s="545"/>
      <c r="G154" s="545"/>
      <c r="H154" s="545"/>
      <c r="I154" s="545"/>
      <c r="J154" s="545"/>
      <c r="K154" s="545"/>
      <c r="L154" s="545"/>
      <c r="M154" s="545"/>
      <c r="N154" s="545"/>
      <c r="O154" s="545"/>
      <c r="P154" s="545"/>
      <c r="Q154" s="545"/>
      <c r="R154" s="545"/>
      <c r="S154" s="545"/>
      <c r="T154" s="545"/>
      <c r="U154" s="545"/>
      <c r="V154" s="545"/>
      <c r="W154" s="545"/>
    </row>
    <row r="155" ht="16.5" customHeight="1">
      <c r="A155" s="545"/>
      <c r="B155" s="545"/>
      <c r="C155" s="545"/>
      <c r="D155" s="545"/>
      <c r="E155" s="545"/>
      <c r="F155" s="545"/>
      <c r="G155" s="545"/>
      <c r="H155" s="545"/>
      <c r="I155" s="545"/>
      <c r="J155" s="545"/>
      <c r="K155" s="545"/>
      <c r="L155" s="545"/>
      <c r="M155" s="545"/>
      <c r="N155" s="545"/>
      <c r="O155" s="545"/>
      <c r="P155" s="545"/>
      <c r="Q155" s="545"/>
      <c r="R155" s="545"/>
      <c r="S155" s="545"/>
      <c r="T155" s="545"/>
      <c r="U155" s="545"/>
      <c r="V155" s="545"/>
      <c r="W155" s="545"/>
    </row>
    <row r="156" ht="16.5" customHeight="1">
      <c r="A156" s="545"/>
      <c r="B156" s="545"/>
      <c r="C156" s="545"/>
      <c r="D156" s="545"/>
      <c r="E156" s="545"/>
      <c r="F156" s="545"/>
      <c r="G156" s="545"/>
      <c r="H156" s="545"/>
      <c r="I156" s="545"/>
      <c r="J156" s="545"/>
      <c r="K156" s="545"/>
      <c r="L156" s="545"/>
      <c r="M156" s="545"/>
      <c r="N156" s="545"/>
      <c r="O156" s="545"/>
      <c r="P156" s="545"/>
      <c r="Q156" s="545"/>
      <c r="R156" s="545"/>
      <c r="S156" s="545"/>
      <c r="T156" s="545"/>
      <c r="U156" s="545"/>
      <c r="V156" s="545"/>
      <c r="W156" s="545"/>
    </row>
    <row r="157" ht="16.5" customHeight="1">
      <c r="A157" s="545"/>
      <c r="B157" s="545"/>
      <c r="C157" s="545"/>
      <c r="D157" s="545"/>
      <c r="E157" s="545"/>
      <c r="F157" s="545"/>
      <c r="G157" s="545"/>
      <c r="H157" s="545"/>
      <c r="I157" s="545"/>
      <c r="J157" s="545"/>
      <c r="K157" s="545"/>
      <c r="L157" s="545"/>
      <c r="M157" s="545"/>
      <c r="N157" s="545"/>
      <c r="O157" s="545"/>
      <c r="P157" s="545"/>
      <c r="Q157" s="545"/>
      <c r="R157" s="545"/>
      <c r="S157" s="545"/>
      <c r="T157" s="545"/>
      <c r="U157" s="545"/>
      <c r="V157" s="545"/>
      <c r="W157" s="545"/>
    </row>
    <row r="158" ht="16.5" customHeight="1">
      <c r="A158" s="545"/>
      <c r="B158" s="545"/>
      <c r="C158" s="545"/>
      <c r="D158" s="545"/>
      <c r="E158" s="545"/>
      <c r="F158" s="545"/>
      <c r="G158" s="545"/>
      <c r="H158" s="545"/>
      <c r="I158" s="545"/>
      <c r="J158" s="545"/>
      <c r="K158" s="545"/>
      <c r="L158" s="545"/>
      <c r="M158" s="545"/>
      <c r="N158" s="545"/>
      <c r="O158" s="545"/>
      <c r="P158" s="545"/>
      <c r="Q158" s="545"/>
      <c r="R158" s="545"/>
      <c r="S158" s="545"/>
      <c r="T158" s="545"/>
      <c r="U158" s="545"/>
      <c r="V158" s="545"/>
      <c r="W158" s="545"/>
    </row>
    <row r="159" ht="16.5" customHeight="1">
      <c r="A159" s="545"/>
      <c r="B159" s="545"/>
      <c r="C159" s="545"/>
      <c r="D159" s="545"/>
      <c r="E159" s="545"/>
      <c r="F159" s="545"/>
      <c r="G159" s="545"/>
      <c r="H159" s="545"/>
      <c r="I159" s="545"/>
      <c r="J159" s="545"/>
      <c r="K159" s="545"/>
      <c r="L159" s="545"/>
      <c r="M159" s="545"/>
      <c r="N159" s="545"/>
      <c r="O159" s="545"/>
      <c r="P159" s="545"/>
      <c r="Q159" s="545"/>
      <c r="R159" s="545"/>
      <c r="S159" s="545"/>
      <c r="T159" s="545"/>
      <c r="U159" s="545"/>
      <c r="V159" s="545"/>
      <c r="W159" s="545"/>
    </row>
    <row r="160" ht="16.5" customHeight="1">
      <c r="A160" s="545"/>
      <c r="B160" s="545"/>
      <c r="C160" s="545"/>
      <c r="D160" s="545"/>
      <c r="E160" s="545"/>
      <c r="F160" s="545"/>
      <c r="G160" s="545"/>
      <c r="H160" s="545"/>
      <c r="I160" s="545"/>
      <c r="J160" s="545"/>
      <c r="K160" s="545"/>
      <c r="L160" s="545"/>
      <c r="M160" s="545"/>
      <c r="N160" s="545"/>
      <c r="O160" s="545"/>
      <c r="P160" s="545"/>
      <c r="Q160" s="545"/>
      <c r="R160" s="545"/>
      <c r="S160" s="545"/>
      <c r="T160" s="545"/>
      <c r="U160" s="545"/>
      <c r="V160" s="545"/>
      <c r="W160" s="545"/>
    </row>
    <row r="161" ht="16.5" customHeight="1">
      <c r="A161" s="545"/>
      <c r="B161" s="545"/>
      <c r="C161" s="545"/>
      <c r="D161" s="545"/>
      <c r="E161" s="545"/>
      <c r="F161" s="545"/>
      <c r="G161" s="545"/>
      <c r="H161" s="545"/>
      <c r="I161" s="545"/>
      <c r="J161" s="545"/>
      <c r="K161" s="545"/>
      <c r="L161" s="545"/>
      <c r="M161" s="545"/>
      <c r="N161" s="545"/>
      <c r="O161" s="545"/>
      <c r="P161" s="545"/>
      <c r="Q161" s="545"/>
      <c r="R161" s="545"/>
      <c r="S161" s="545"/>
      <c r="T161" s="545"/>
      <c r="U161" s="545"/>
      <c r="V161" s="545"/>
      <c r="W161" s="545"/>
    </row>
    <row r="162" ht="16.5" customHeight="1">
      <c r="A162" s="545"/>
      <c r="B162" s="545"/>
      <c r="C162" s="545"/>
      <c r="D162" s="545"/>
      <c r="E162" s="545"/>
      <c r="F162" s="545"/>
      <c r="G162" s="545"/>
      <c r="H162" s="545"/>
      <c r="I162" s="545"/>
      <c r="J162" s="545"/>
      <c r="K162" s="545"/>
      <c r="L162" s="545"/>
      <c r="M162" s="545"/>
      <c r="N162" s="545"/>
      <c r="O162" s="545"/>
      <c r="P162" s="545"/>
      <c r="Q162" s="545"/>
      <c r="R162" s="545"/>
      <c r="S162" s="545"/>
      <c r="T162" s="545"/>
      <c r="U162" s="545"/>
      <c r="V162" s="545"/>
      <c r="W162" s="545"/>
    </row>
    <row r="163" ht="16.5" customHeight="1">
      <c r="A163" s="545"/>
      <c r="B163" s="545"/>
      <c r="C163" s="545"/>
      <c r="D163" s="545"/>
      <c r="E163" s="545"/>
      <c r="F163" s="545"/>
      <c r="G163" s="545"/>
      <c r="H163" s="545"/>
      <c r="I163" s="545"/>
      <c r="J163" s="545"/>
      <c r="K163" s="545"/>
      <c r="L163" s="545"/>
      <c r="M163" s="545"/>
      <c r="N163" s="545"/>
      <c r="O163" s="545"/>
      <c r="P163" s="545"/>
      <c r="Q163" s="545"/>
      <c r="R163" s="545"/>
      <c r="S163" s="545"/>
      <c r="T163" s="545"/>
      <c r="U163" s="545"/>
      <c r="V163" s="545"/>
      <c r="W163" s="545"/>
    </row>
    <row r="164" ht="16.5" customHeight="1">
      <c r="A164" s="545"/>
      <c r="B164" s="545"/>
      <c r="C164" s="545"/>
      <c r="D164" s="545"/>
      <c r="E164" s="545"/>
      <c r="F164" s="545"/>
      <c r="G164" s="545"/>
      <c r="H164" s="545"/>
      <c r="I164" s="545"/>
      <c r="J164" s="545"/>
      <c r="K164" s="545"/>
      <c r="L164" s="545"/>
      <c r="M164" s="545"/>
      <c r="N164" s="545"/>
      <c r="O164" s="545"/>
      <c r="P164" s="545"/>
      <c r="Q164" s="545"/>
      <c r="R164" s="545"/>
      <c r="S164" s="545"/>
      <c r="T164" s="545"/>
      <c r="U164" s="545"/>
      <c r="V164" s="545"/>
      <c r="W164" s="545"/>
    </row>
    <row r="165" ht="16.5" customHeight="1">
      <c r="A165" s="545"/>
      <c r="B165" s="545"/>
      <c r="C165" s="545"/>
      <c r="D165" s="545"/>
      <c r="E165" s="545"/>
      <c r="F165" s="545"/>
      <c r="G165" s="545"/>
      <c r="H165" s="545"/>
      <c r="I165" s="545"/>
      <c r="J165" s="545"/>
      <c r="K165" s="545"/>
      <c r="L165" s="545"/>
      <c r="M165" s="545"/>
      <c r="N165" s="545"/>
      <c r="O165" s="545"/>
      <c r="P165" s="545"/>
      <c r="Q165" s="545"/>
      <c r="R165" s="545"/>
      <c r="S165" s="545"/>
      <c r="T165" s="545"/>
      <c r="U165" s="545"/>
      <c r="V165" s="545"/>
      <c r="W165" s="545"/>
    </row>
    <row r="166" ht="16.5" customHeight="1">
      <c r="A166" s="545"/>
      <c r="B166" s="545"/>
      <c r="C166" s="545"/>
      <c r="D166" s="545"/>
      <c r="E166" s="545"/>
      <c r="F166" s="545"/>
      <c r="G166" s="545"/>
      <c r="H166" s="545"/>
      <c r="I166" s="545"/>
      <c r="J166" s="545"/>
      <c r="K166" s="545"/>
      <c r="L166" s="545"/>
      <c r="M166" s="545"/>
      <c r="N166" s="545"/>
      <c r="O166" s="545"/>
      <c r="P166" s="545"/>
      <c r="Q166" s="545"/>
      <c r="R166" s="545"/>
      <c r="S166" s="545"/>
      <c r="T166" s="545"/>
      <c r="U166" s="545"/>
      <c r="V166" s="545"/>
      <c r="W166" s="545"/>
    </row>
    <row r="167" ht="16.5" customHeight="1">
      <c r="A167" s="545"/>
      <c r="B167" s="545"/>
      <c r="C167" s="545"/>
      <c r="D167" s="545"/>
      <c r="E167" s="545"/>
      <c r="F167" s="545"/>
      <c r="G167" s="545"/>
      <c r="H167" s="545"/>
      <c r="I167" s="545"/>
      <c r="J167" s="545"/>
      <c r="K167" s="545"/>
      <c r="L167" s="545"/>
      <c r="M167" s="545"/>
      <c r="N167" s="545"/>
      <c r="O167" s="545"/>
      <c r="P167" s="545"/>
      <c r="Q167" s="545"/>
      <c r="R167" s="545"/>
      <c r="S167" s="545"/>
      <c r="T167" s="545"/>
      <c r="U167" s="545"/>
      <c r="V167" s="545"/>
      <c r="W167" s="545"/>
    </row>
    <row r="168" ht="16.5" customHeight="1">
      <c r="A168" s="545"/>
      <c r="B168" s="545"/>
      <c r="C168" s="545"/>
      <c r="D168" s="545"/>
      <c r="E168" s="545"/>
      <c r="F168" s="545"/>
      <c r="G168" s="545"/>
      <c r="H168" s="545"/>
      <c r="I168" s="545"/>
      <c r="J168" s="545"/>
      <c r="K168" s="545"/>
      <c r="L168" s="545"/>
      <c r="M168" s="545"/>
      <c r="N168" s="545"/>
      <c r="O168" s="545"/>
      <c r="P168" s="545"/>
      <c r="Q168" s="545"/>
      <c r="R168" s="545"/>
      <c r="S168" s="545"/>
      <c r="T168" s="545"/>
      <c r="U168" s="545"/>
      <c r="V168" s="545"/>
      <c r="W168" s="545"/>
    </row>
    <row r="169" ht="16.5" customHeight="1">
      <c r="A169" s="545"/>
      <c r="B169" s="545"/>
      <c r="C169" s="545"/>
      <c r="D169" s="545"/>
      <c r="E169" s="545"/>
      <c r="F169" s="545"/>
      <c r="G169" s="545"/>
      <c r="H169" s="545"/>
      <c r="I169" s="545"/>
      <c r="J169" s="545"/>
      <c r="K169" s="545"/>
      <c r="L169" s="545"/>
      <c r="M169" s="545"/>
      <c r="N169" s="545"/>
      <c r="O169" s="545"/>
      <c r="P169" s="545"/>
      <c r="Q169" s="545"/>
      <c r="R169" s="545"/>
      <c r="S169" s="545"/>
      <c r="T169" s="545"/>
      <c r="U169" s="545"/>
      <c r="V169" s="545"/>
      <c r="W169" s="545"/>
    </row>
    <row r="170" ht="16.5" customHeight="1">
      <c r="A170" s="545"/>
      <c r="B170" s="545"/>
      <c r="C170" s="545"/>
      <c r="D170" s="545"/>
      <c r="E170" s="545"/>
      <c r="F170" s="545"/>
      <c r="G170" s="545"/>
      <c r="H170" s="545"/>
      <c r="I170" s="545"/>
      <c r="J170" s="545"/>
      <c r="K170" s="545"/>
      <c r="L170" s="545"/>
      <c r="M170" s="545"/>
      <c r="N170" s="545"/>
      <c r="O170" s="545"/>
      <c r="P170" s="545"/>
      <c r="Q170" s="545"/>
      <c r="R170" s="545"/>
      <c r="S170" s="545"/>
      <c r="T170" s="545"/>
      <c r="U170" s="545"/>
      <c r="V170" s="545"/>
      <c r="W170" s="545"/>
    </row>
    <row r="171" ht="16.5" customHeight="1">
      <c r="A171" s="545"/>
      <c r="B171" s="545"/>
      <c r="C171" s="545"/>
      <c r="D171" s="545"/>
      <c r="E171" s="545"/>
      <c r="F171" s="545"/>
      <c r="G171" s="545"/>
      <c r="H171" s="545"/>
      <c r="I171" s="545"/>
      <c r="J171" s="545"/>
      <c r="K171" s="545"/>
      <c r="L171" s="545"/>
      <c r="M171" s="545"/>
      <c r="N171" s="545"/>
      <c r="O171" s="545"/>
      <c r="P171" s="545"/>
      <c r="Q171" s="545"/>
      <c r="R171" s="545"/>
      <c r="S171" s="545"/>
      <c r="T171" s="545"/>
      <c r="U171" s="545"/>
      <c r="V171" s="545"/>
      <c r="W171" s="545"/>
    </row>
    <row r="172" ht="16.5" customHeight="1">
      <c r="A172" s="545"/>
      <c r="B172" s="545"/>
      <c r="C172" s="545"/>
      <c r="D172" s="545"/>
      <c r="E172" s="545"/>
      <c r="F172" s="545"/>
      <c r="G172" s="545"/>
      <c r="H172" s="545"/>
      <c r="I172" s="545"/>
      <c r="J172" s="545"/>
      <c r="K172" s="545"/>
      <c r="L172" s="545"/>
      <c r="M172" s="545"/>
      <c r="N172" s="545"/>
      <c r="O172" s="545"/>
      <c r="P172" s="545"/>
      <c r="Q172" s="545"/>
      <c r="R172" s="545"/>
      <c r="S172" s="545"/>
      <c r="T172" s="545"/>
      <c r="U172" s="545"/>
      <c r="V172" s="545"/>
      <c r="W172" s="545"/>
    </row>
    <row r="173" ht="16.5" customHeight="1">
      <c r="A173" s="545"/>
      <c r="B173" s="545"/>
      <c r="C173" s="545"/>
      <c r="D173" s="545"/>
      <c r="E173" s="545"/>
      <c r="F173" s="545"/>
      <c r="G173" s="545"/>
      <c r="H173" s="545"/>
      <c r="I173" s="545"/>
      <c r="J173" s="545"/>
      <c r="K173" s="545"/>
      <c r="L173" s="545"/>
      <c r="M173" s="545"/>
      <c r="N173" s="545"/>
      <c r="O173" s="545"/>
      <c r="P173" s="545"/>
      <c r="Q173" s="545"/>
      <c r="R173" s="545"/>
      <c r="S173" s="545"/>
      <c r="T173" s="545"/>
      <c r="U173" s="545"/>
      <c r="V173" s="545"/>
      <c r="W173" s="545"/>
    </row>
    <row r="174" ht="16.5" customHeight="1">
      <c r="A174" s="545"/>
      <c r="B174" s="545"/>
      <c r="C174" s="545"/>
      <c r="D174" s="545"/>
      <c r="E174" s="545"/>
      <c r="F174" s="545"/>
      <c r="G174" s="545"/>
      <c r="H174" s="545"/>
      <c r="I174" s="545"/>
      <c r="J174" s="545"/>
      <c r="K174" s="545"/>
      <c r="L174" s="545"/>
      <c r="M174" s="545"/>
      <c r="N174" s="545"/>
      <c r="O174" s="545"/>
      <c r="P174" s="545"/>
      <c r="Q174" s="545"/>
      <c r="R174" s="545"/>
      <c r="S174" s="545"/>
      <c r="T174" s="545"/>
      <c r="U174" s="545"/>
      <c r="V174" s="545"/>
      <c r="W174" s="545"/>
    </row>
    <row r="175" ht="16.5" customHeight="1">
      <c r="A175" s="545"/>
      <c r="B175" s="545"/>
      <c r="C175" s="545"/>
      <c r="D175" s="545"/>
      <c r="E175" s="545"/>
      <c r="F175" s="545"/>
      <c r="G175" s="545"/>
      <c r="H175" s="545"/>
      <c r="I175" s="545"/>
      <c r="J175" s="545"/>
      <c r="K175" s="545"/>
      <c r="L175" s="545"/>
      <c r="M175" s="545"/>
      <c r="N175" s="545"/>
      <c r="O175" s="545"/>
      <c r="P175" s="545"/>
      <c r="Q175" s="545"/>
      <c r="R175" s="545"/>
      <c r="S175" s="545"/>
      <c r="T175" s="545"/>
      <c r="U175" s="545"/>
      <c r="V175" s="545"/>
      <c r="W175" s="545"/>
    </row>
    <row r="176" ht="16.5" customHeight="1">
      <c r="A176" s="545"/>
      <c r="B176" s="545"/>
      <c r="C176" s="545"/>
      <c r="D176" s="545"/>
      <c r="E176" s="545"/>
      <c r="F176" s="545"/>
      <c r="G176" s="545"/>
      <c r="H176" s="545"/>
      <c r="I176" s="545"/>
      <c r="J176" s="545"/>
      <c r="K176" s="545"/>
      <c r="L176" s="545"/>
      <c r="M176" s="545"/>
      <c r="N176" s="545"/>
      <c r="O176" s="545"/>
      <c r="P176" s="545"/>
      <c r="Q176" s="545"/>
      <c r="R176" s="545"/>
      <c r="S176" s="545"/>
      <c r="T176" s="545"/>
      <c r="U176" s="545"/>
      <c r="V176" s="545"/>
      <c r="W176" s="545"/>
    </row>
    <row r="177" ht="16.5" customHeight="1">
      <c r="A177" s="545"/>
      <c r="B177" s="545"/>
      <c r="C177" s="545"/>
      <c r="D177" s="545"/>
      <c r="E177" s="545"/>
      <c r="F177" s="545"/>
      <c r="G177" s="545"/>
      <c r="H177" s="545"/>
      <c r="I177" s="545"/>
      <c r="J177" s="545"/>
      <c r="K177" s="545"/>
      <c r="L177" s="545"/>
      <c r="M177" s="545"/>
      <c r="N177" s="545"/>
      <c r="O177" s="545"/>
      <c r="P177" s="545"/>
      <c r="Q177" s="545"/>
      <c r="R177" s="545"/>
      <c r="S177" s="545"/>
      <c r="T177" s="545"/>
      <c r="U177" s="545"/>
      <c r="V177" s="545"/>
      <c r="W177" s="545"/>
    </row>
    <row r="178" ht="16.5" customHeight="1">
      <c r="A178" s="545"/>
      <c r="B178" s="545"/>
      <c r="C178" s="545"/>
      <c r="D178" s="545"/>
      <c r="E178" s="545"/>
      <c r="F178" s="545"/>
      <c r="G178" s="545"/>
      <c r="H178" s="545"/>
      <c r="I178" s="545"/>
      <c r="J178" s="545"/>
      <c r="K178" s="545"/>
      <c r="L178" s="545"/>
      <c r="M178" s="545"/>
      <c r="N178" s="545"/>
      <c r="O178" s="545"/>
      <c r="P178" s="545"/>
      <c r="Q178" s="545"/>
      <c r="R178" s="545"/>
      <c r="S178" s="545"/>
      <c r="T178" s="545"/>
      <c r="U178" s="545"/>
      <c r="V178" s="545"/>
      <c r="W178" s="545"/>
    </row>
    <row r="179" ht="16.5" customHeight="1">
      <c r="A179" s="545"/>
      <c r="B179" s="545"/>
      <c r="C179" s="545"/>
      <c r="D179" s="545"/>
      <c r="E179" s="545"/>
      <c r="F179" s="545"/>
      <c r="G179" s="545"/>
      <c r="H179" s="545"/>
      <c r="I179" s="545"/>
      <c r="J179" s="545"/>
      <c r="K179" s="545"/>
      <c r="L179" s="545"/>
      <c r="M179" s="545"/>
      <c r="N179" s="545"/>
      <c r="O179" s="545"/>
      <c r="P179" s="545"/>
      <c r="Q179" s="545"/>
      <c r="R179" s="545"/>
      <c r="S179" s="545"/>
      <c r="T179" s="545"/>
      <c r="U179" s="545"/>
      <c r="V179" s="545"/>
      <c r="W179" s="545"/>
    </row>
    <row r="180" ht="16.5" customHeight="1">
      <c r="A180" s="545"/>
      <c r="B180" s="545"/>
      <c r="C180" s="545"/>
      <c r="D180" s="545"/>
      <c r="E180" s="545"/>
      <c r="F180" s="545"/>
      <c r="G180" s="545"/>
      <c r="H180" s="545"/>
      <c r="I180" s="545"/>
      <c r="J180" s="545"/>
      <c r="K180" s="545"/>
      <c r="L180" s="545"/>
      <c r="M180" s="545"/>
      <c r="N180" s="545"/>
      <c r="O180" s="545"/>
      <c r="P180" s="545"/>
      <c r="Q180" s="545"/>
      <c r="R180" s="545"/>
      <c r="S180" s="545"/>
      <c r="T180" s="545"/>
      <c r="U180" s="545"/>
      <c r="V180" s="545"/>
      <c r="W180" s="545"/>
    </row>
    <row r="181" ht="16.5" customHeight="1">
      <c r="A181" s="545"/>
      <c r="B181" s="545"/>
      <c r="C181" s="545"/>
      <c r="D181" s="545"/>
      <c r="E181" s="545"/>
      <c r="F181" s="545"/>
      <c r="G181" s="545"/>
      <c r="H181" s="545"/>
      <c r="I181" s="545"/>
      <c r="J181" s="545"/>
      <c r="K181" s="545"/>
      <c r="L181" s="545"/>
      <c r="M181" s="545"/>
      <c r="N181" s="545"/>
      <c r="O181" s="545"/>
      <c r="P181" s="545"/>
      <c r="Q181" s="545"/>
      <c r="R181" s="545"/>
      <c r="S181" s="545"/>
      <c r="T181" s="545"/>
      <c r="U181" s="545"/>
      <c r="V181" s="545"/>
      <c r="W181" s="545"/>
    </row>
    <row r="182" ht="16.5" customHeight="1">
      <c r="A182" s="545"/>
      <c r="B182" s="545"/>
      <c r="C182" s="545"/>
      <c r="D182" s="545"/>
      <c r="E182" s="545"/>
      <c r="F182" s="545"/>
      <c r="G182" s="545"/>
      <c r="H182" s="545"/>
      <c r="I182" s="545"/>
      <c r="J182" s="545"/>
      <c r="K182" s="545"/>
      <c r="L182" s="545"/>
      <c r="M182" s="545"/>
      <c r="N182" s="545"/>
      <c r="O182" s="545"/>
      <c r="P182" s="545"/>
      <c r="Q182" s="545"/>
      <c r="R182" s="545"/>
      <c r="S182" s="545"/>
      <c r="T182" s="545"/>
      <c r="U182" s="545"/>
      <c r="V182" s="545"/>
      <c r="W182" s="545"/>
    </row>
    <row r="183" ht="16.5" customHeight="1">
      <c r="A183" s="545"/>
      <c r="B183" s="545"/>
      <c r="C183" s="545"/>
      <c r="D183" s="545"/>
      <c r="E183" s="545"/>
      <c r="F183" s="545"/>
      <c r="G183" s="545"/>
      <c r="H183" s="545"/>
      <c r="I183" s="545"/>
      <c r="J183" s="545"/>
      <c r="K183" s="545"/>
      <c r="L183" s="545"/>
      <c r="M183" s="545"/>
      <c r="N183" s="545"/>
      <c r="O183" s="545"/>
      <c r="P183" s="545"/>
      <c r="Q183" s="545"/>
      <c r="R183" s="545"/>
      <c r="S183" s="545"/>
      <c r="T183" s="545"/>
      <c r="U183" s="545"/>
      <c r="V183" s="545"/>
      <c r="W183" s="545"/>
    </row>
    <row r="184" ht="16.5" customHeight="1">
      <c r="A184" s="545"/>
      <c r="B184" s="545"/>
      <c r="C184" s="545"/>
      <c r="D184" s="545"/>
      <c r="E184" s="545"/>
      <c r="F184" s="545"/>
      <c r="G184" s="545"/>
      <c r="H184" s="545"/>
      <c r="I184" s="545"/>
      <c r="J184" s="545"/>
      <c r="K184" s="545"/>
      <c r="L184" s="545"/>
      <c r="M184" s="545"/>
      <c r="N184" s="545"/>
      <c r="O184" s="545"/>
      <c r="P184" s="545"/>
      <c r="Q184" s="545"/>
      <c r="R184" s="545"/>
      <c r="S184" s="545"/>
      <c r="T184" s="545"/>
      <c r="U184" s="545"/>
      <c r="V184" s="545"/>
      <c r="W184" s="545"/>
    </row>
    <row r="185" ht="16.5" customHeight="1">
      <c r="A185" s="545"/>
      <c r="B185" s="545"/>
      <c r="C185" s="545"/>
      <c r="D185" s="545"/>
      <c r="E185" s="545"/>
      <c r="F185" s="545"/>
      <c r="G185" s="545"/>
      <c r="H185" s="545"/>
      <c r="I185" s="545"/>
      <c r="J185" s="545"/>
      <c r="K185" s="545"/>
      <c r="L185" s="545"/>
      <c r="M185" s="545"/>
      <c r="N185" s="545"/>
      <c r="O185" s="545"/>
      <c r="P185" s="545"/>
      <c r="Q185" s="545"/>
      <c r="R185" s="545"/>
      <c r="S185" s="545"/>
      <c r="T185" s="545"/>
      <c r="U185" s="545"/>
      <c r="V185" s="545"/>
      <c r="W185" s="545"/>
    </row>
    <row r="186" ht="16.5" customHeight="1">
      <c r="A186" s="545"/>
      <c r="B186" s="545"/>
      <c r="C186" s="545"/>
      <c r="D186" s="545"/>
      <c r="E186" s="545"/>
      <c r="F186" s="545"/>
      <c r="G186" s="545"/>
      <c r="H186" s="545"/>
      <c r="I186" s="545"/>
      <c r="J186" s="545"/>
      <c r="K186" s="545"/>
      <c r="L186" s="545"/>
      <c r="M186" s="545"/>
      <c r="N186" s="545"/>
      <c r="O186" s="545"/>
      <c r="P186" s="545"/>
      <c r="Q186" s="545"/>
      <c r="R186" s="545"/>
      <c r="S186" s="545"/>
      <c r="T186" s="545"/>
      <c r="U186" s="545"/>
      <c r="V186" s="545"/>
      <c r="W186" s="545"/>
    </row>
    <row r="187" ht="16.5" customHeight="1">
      <c r="A187" s="545"/>
      <c r="B187" s="545"/>
      <c r="C187" s="545"/>
      <c r="D187" s="545"/>
      <c r="E187" s="545"/>
      <c r="F187" s="545"/>
      <c r="G187" s="545"/>
      <c r="H187" s="545"/>
      <c r="I187" s="545"/>
      <c r="J187" s="545"/>
      <c r="K187" s="545"/>
      <c r="L187" s="545"/>
      <c r="M187" s="545"/>
      <c r="N187" s="545"/>
      <c r="O187" s="545"/>
      <c r="P187" s="545"/>
      <c r="Q187" s="545"/>
      <c r="R187" s="545"/>
      <c r="S187" s="545"/>
      <c r="T187" s="545"/>
      <c r="U187" s="545"/>
      <c r="V187" s="545"/>
      <c r="W187" s="545"/>
    </row>
    <row r="188" ht="16.5" customHeight="1">
      <c r="A188" s="545"/>
      <c r="B188" s="545"/>
      <c r="C188" s="545"/>
      <c r="D188" s="545"/>
      <c r="E188" s="545"/>
      <c r="F188" s="545"/>
      <c r="G188" s="545"/>
      <c r="H188" s="545"/>
      <c r="I188" s="545"/>
      <c r="J188" s="545"/>
      <c r="K188" s="545"/>
      <c r="L188" s="545"/>
      <c r="M188" s="545"/>
      <c r="N188" s="545"/>
      <c r="O188" s="545"/>
      <c r="P188" s="545"/>
      <c r="Q188" s="545"/>
      <c r="R188" s="545"/>
      <c r="S188" s="545"/>
      <c r="T188" s="545"/>
      <c r="U188" s="545"/>
      <c r="V188" s="545"/>
      <c r="W188" s="545"/>
    </row>
    <row r="189" ht="16.5" customHeight="1">
      <c r="A189" s="545"/>
      <c r="B189" s="545"/>
      <c r="C189" s="545"/>
      <c r="D189" s="545"/>
      <c r="E189" s="545"/>
      <c r="F189" s="545"/>
      <c r="G189" s="545"/>
      <c r="H189" s="545"/>
      <c r="I189" s="545"/>
      <c r="J189" s="545"/>
      <c r="K189" s="545"/>
      <c r="L189" s="545"/>
      <c r="M189" s="545"/>
      <c r="N189" s="545"/>
      <c r="O189" s="545"/>
      <c r="P189" s="545"/>
      <c r="Q189" s="545"/>
      <c r="R189" s="545"/>
      <c r="S189" s="545"/>
      <c r="T189" s="545"/>
      <c r="U189" s="545"/>
      <c r="V189" s="545"/>
      <c r="W189" s="545"/>
    </row>
    <row r="190" ht="16.5" customHeight="1">
      <c r="A190" s="545"/>
      <c r="B190" s="545"/>
      <c r="C190" s="545"/>
      <c r="D190" s="545"/>
      <c r="E190" s="545"/>
      <c r="F190" s="545"/>
      <c r="G190" s="545"/>
      <c r="H190" s="545"/>
      <c r="I190" s="545"/>
      <c r="J190" s="545"/>
      <c r="K190" s="545"/>
      <c r="L190" s="545"/>
      <c r="M190" s="545"/>
      <c r="N190" s="545"/>
      <c r="O190" s="545"/>
      <c r="P190" s="545"/>
      <c r="Q190" s="545"/>
      <c r="R190" s="545"/>
      <c r="S190" s="545"/>
      <c r="T190" s="545"/>
      <c r="U190" s="545"/>
      <c r="V190" s="545"/>
      <c r="W190" s="545"/>
    </row>
    <row r="191" ht="16.5" customHeight="1">
      <c r="A191" s="545"/>
      <c r="B191" s="545"/>
      <c r="C191" s="545"/>
      <c r="D191" s="545"/>
      <c r="E191" s="545"/>
      <c r="F191" s="545"/>
      <c r="G191" s="545"/>
      <c r="H191" s="545"/>
      <c r="I191" s="545"/>
      <c r="J191" s="545"/>
      <c r="K191" s="545"/>
      <c r="L191" s="545"/>
      <c r="M191" s="545"/>
      <c r="N191" s="545"/>
      <c r="O191" s="545"/>
      <c r="P191" s="545"/>
      <c r="Q191" s="545"/>
      <c r="R191" s="545"/>
      <c r="S191" s="545"/>
      <c r="T191" s="545"/>
      <c r="U191" s="545"/>
      <c r="V191" s="545"/>
      <c r="W191" s="545"/>
    </row>
    <row r="192" ht="16.5" customHeight="1">
      <c r="A192" s="545"/>
      <c r="B192" s="545"/>
      <c r="C192" s="545"/>
      <c r="D192" s="545"/>
      <c r="E192" s="545"/>
      <c r="F192" s="545"/>
      <c r="G192" s="545"/>
      <c r="H192" s="545"/>
      <c r="I192" s="545"/>
      <c r="J192" s="545"/>
      <c r="K192" s="545"/>
      <c r="L192" s="545"/>
      <c r="M192" s="545"/>
      <c r="N192" s="545"/>
      <c r="O192" s="545"/>
      <c r="P192" s="545"/>
      <c r="Q192" s="545"/>
      <c r="R192" s="545"/>
      <c r="S192" s="545"/>
      <c r="T192" s="545"/>
      <c r="U192" s="545"/>
      <c r="V192" s="545"/>
      <c r="W192" s="545"/>
    </row>
    <row r="193" ht="16.5" customHeight="1">
      <c r="A193" s="545"/>
      <c r="B193" s="545"/>
      <c r="C193" s="545"/>
      <c r="D193" s="545"/>
      <c r="E193" s="545"/>
      <c r="F193" s="545"/>
      <c r="G193" s="545"/>
      <c r="H193" s="545"/>
      <c r="I193" s="545"/>
      <c r="J193" s="545"/>
      <c r="K193" s="545"/>
      <c r="L193" s="545"/>
      <c r="M193" s="545"/>
      <c r="N193" s="545"/>
      <c r="O193" s="545"/>
      <c r="P193" s="545"/>
      <c r="Q193" s="545"/>
      <c r="R193" s="545"/>
      <c r="S193" s="545"/>
      <c r="T193" s="545"/>
      <c r="U193" s="545"/>
      <c r="V193" s="545"/>
      <c r="W193" s="545"/>
    </row>
    <row r="194" ht="16.5" customHeight="1">
      <c r="A194" s="545"/>
      <c r="B194" s="545"/>
      <c r="C194" s="545"/>
      <c r="D194" s="545"/>
      <c r="E194" s="545"/>
      <c r="F194" s="545"/>
      <c r="G194" s="545"/>
      <c r="H194" s="545"/>
      <c r="I194" s="545"/>
      <c r="J194" s="545"/>
      <c r="K194" s="545"/>
      <c r="L194" s="545"/>
      <c r="M194" s="545"/>
      <c r="N194" s="545"/>
      <c r="O194" s="545"/>
      <c r="P194" s="545"/>
      <c r="Q194" s="545"/>
      <c r="R194" s="545"/>
      <c r="S194" s="545"/>
      <c r="T194" s="545"/>
      <c r="U194" s="545"/>
      <c r="V194" s="545"/>
      <c r="W194" s="545"/>
    </row>
    <row r="195" ht="16.5" customHeight="1">
      <c r="A195" s="545"/>
      <c r="B195" s="545"/>
      <c r="C195" s="545"/>
      <c r="D195" s="545"/>
      <c r="E195" s="545"/>
      <c r="F195" s="545"/>
      <c r="G195" s="545"/>
      <c r="H195" s="545"/>
      <c r="I195" s="545"/>
      <c r="J195" s="545"/>
      <c r="K195" s="545"/>
      <c r="L195" s="545"/>
      <c r="M195" s="545"/>
      <c r="N195" s="545"/>
      <c r="O195" s="545"/>
      <c r="P195" s="545"/>
      <c r="Q195" s="545"/>
      <c r="R195" s="545"/>
      <c r="S195" s="545"/>
      <c r="T195" s="545"/>
      <c r="U195" s="545"/>
      <c r="V195" s="545"/>
      <c r="W195" s="545"/>
    </row>
    <row r="196" ht="16.5" customHeight="1">
      <c r="A196" s="545"/>
      <c r="B196" s="545"/>
      <c r="C196" s="545"/>
      <c r="D196" s="545"/>
      <c r="E196" s="545"/>
      <c r="F196" s="545"/>
      <c r="G196" s="545"/>
      <c r="H196" s="545"/>
      <c r="I196" s="545"/>
      <c r="J196" s="545"/>
      <c r="K196" s="545"/>
      <c r="L196" s="545"/>
      <c r="M196" s="545"/>
      <c r="N196" s="545"/>
      <c r="O196" s="545"/>
      <c r="P196" s="545"/>
      <c r="Q196" s="545"/>
      <c r="R196" s="545"/>
      <c r="S196" s="545"/>
      <c r="T196" s="545"/>
      <c r="U196" s="545"/>
      <c r="V196" s="545"/>
      <c r="W196" s="545"/>
    </row>
    <row r="197" ht="16.5" customHeight="1">
      <c r="A197" s="545"/>
      <c r="B197" s="545"/>
      <c r="C197" s="545"/>
      <c r="D197" s="545"/>
      <c r="E197" s="545"/>
      <c r="F197" s="545"/>
      <c r="G197" s="545"/>
      <c r="H197" s="545"/>
      <c r="I197" s="545"/>
      <c r="J197" s="545"/>
      <c r="K197" s="545"/>
      <c r="L197" s="545"/>
      <c r="M197" s="545"/>
      <c r="N197" s="545"/>
      <c r="O197" s="545"/>
      <c r="P197" s="545"/>
      <c r="Q197" s="545"/>
      <c r="R197" s="545"/>
      <c r="S197" s="545"/>
      <c r="T197" s="545"/>
      <c r="U197" s="545"/>
      <c r="V197" s="545"/>
      <c r="W197" s="545"/>
    </row>
    <row r="198" ht="16.5" customHeight="1">
      <c r="A198" s="545"/>
      <c r="B198" s="545"/>
      <c r="C198" s="545"/>
      <c r="D198" s="545"/>
      <c r="E198" s="545"/>
      <c r="F198" s="545"/>
      <c r="G198" s="545"/>
      <c r="H198" s="545"/>
      <c r="I198" s="545"/>
      <c r="J198" s="545"/>
      <c r="K198" s="545"/>
      <c r="L198" s="545"/>
      <c r="M198" s="545"/>
      <c r="N198" s="545"/>
      <c r="O198" s="545"/>
      <c r="P198" s="545"/>
      <c r="Q198" s="545"/>
      <c r="R198" s="545"/>
      <c r="S198" s="545"/>
      <c r="T198" s="545"/>
      <c r="U198" s="545"/>
      <c r="V198" s="545"/>
      <c r="W198" s="545"/>
    </row>
    <row r="199" ht="16.5" customHeight="1">
      <c r="A199" s="545"/>
      <c r="B199" s="545"/>
      <c r="C199" s="545"/>
      <c r="D199" s="545"/>
      <c r="E199" s="545"/>
      <c r="F199" s="545"/>
      <c r="G199" s="545"/>
      <c r="H199" s="545"/>
      <c r="I199" s="545"/>
      <c r="J199" s="545"/>
      <c r="K199" s="545"/>
      <c r="L199" s="545"/>
      <c r="M199" s="545"/>
      <c r="N199" s="545"/>
      <c r="O199" s="545"/>
      <c r="P199" s="545"/>
      <c r="Q199" s="545"/>
      <c r="R199" s="545"/>
      <c r="S199" s="545"/>
      <c r="T199" s="545"/>
      <c r="U199" s="545"/>
      <c r="V199" s="545"/>
      <c r="W199" s="545"/>
    </row>
    <row r="200" ht="16.5" customHeight="1">
      <c r="A200" s="545"/>
      <c r="B200" s="545"/>
      <c r="C200" s="545"/>
      <c r="D200" s="545"/>
      <c r="E200" s="545"/>
      <c r="F200" s="545"/>
      <c r="G200" s="545"/>
      <c r="H200" s="545"/>
      <c r="I200" s="545"/>
      <c r="J200" s="545"/>
      <c r="K200" s="545"/>
      <c r="L200" s="545"/>
      <c r="M200" s="545"/>
      <c r="N200" s="545"/>
      <c r="O200" s="545"/>
      <c r="P200" s="545"/>
      <c r="Q200" s="545"/>
      <c r="R200" s="545"/>
      <c r="S200" s="545"/>
      <c r="T200" s="545"/>
      <c r="U200" s="545"/>
      <c r="V200" s="545"/>
      <c r="W200" s="545"/>
    </row>
    <row r="201" ht="16.5" customHeight="1">
      <c r="A201" s="545"/>
      <c r="B201" s="545"/>
      <c r="C201" s="545"/>
      <c r="D201" s="545"/>
      <c r="E201" s="545"/>
      <c r="F201" s="545"/>
      <c r="G201" s="545"/>
      <c r="H201" s="545"/>
      <c r="I201" s="545"/>
      <c r="J201" s="545"/>
      <c r="K201" s="545"/>
      <c r="L201" s="545"/>
      <c r="M201" s="545"/>
      <c r="N201" s="545"/>
      <c r="O201" s="545"/>
      <c r="P201" s="545"/>
      <c r="Q201" s="545"/>
      <c r="R201" s="545"/>
      <c r="S201" s="545"/>
      <c r="T201" s="545"/>
      <c r="U201" s="545"/>
      <c r="V201" s="545"/>
      <c r="W201" s="545"/>
    </row>
    <row r="202" ht="16.5" customHeight="1">
      <c r="A202" s="545"/>
      <c r="B202" s="545"/>
      <c r="C202" s="545"/>
      <c r="D202" s="545"/>
      <c r="E202" s="545"/>
      <c r="F202" s="545"/>
      <c r="G202" s="545"/>
      <c r="H202" s="545"/>
      <c r="I202" s="545"/>
      <c r="J202" s="545"/>
      <c r="K202" s="545"/>
      <c r="L202" s="545"/>
      <c r="M202" s="545"/>
      <c r="N202" s="545"/>
      <c r="O202" s="545"/>
      <c r="P202" s="545"/>
      <c r="Q202" s="545"/>
      <c r="R202" s="545"/>
      <c r="S202" s="545"/>
      <c r="T202" s="545"/>
      <c r="U202" s="545"/>
      <c r="V202" s="545"/>
      <c r="W202" s="545"/>
    </row>
    <row r="203" ht="16.5" customHeight="1">
      <c r="A203" s="545"/>
      <c r="B203" s="545"/>
      <c r="C203" s="545"/>
      <c r="D203" s="545"/>
      <c r="E203" s="545"/>
      <c r="F203" s="545"/>
      <c r="G203" s="545"/>
      <c r="H203" s="545"/>
      <c r="I203" s="545"/>
      <c r="J203" s="545"/>
      <c r="K203" s="545"/>
      <c r="L203" s="545"/>
      <c r="M203" s="545"/>
      <c r="N203" s="545"/>
      <c r="O203" s="545"/>
      <c r="P203" s="545"/>
      <c r="Q203" s="545"/>
      <c r="R203" s="545"/>
      <c r="S203" s="545"/>
      <c r="T203" s="545"/>
      <c r="U203" s="545"/>
      <c r="V203" s="545"/>
      <c r="W203" s="545"/>
    </row>
    <row r="204" ht="16.5" customHeight="1">
      <c r="A204" s="545"/>
      <c r="B204" s="545"/>
      <c r="C204" s="545"/>
      <c r="D204" s="545"/>
      <c r="E204" s="545"/>
      <c r="F204" s="545"/>
      <c r="G204" s="545"/>
      <c r="H204" s="545"/>
      <c r="I204" s="545"/>
      <c r="J204" s="545"/>
      <c r="K204" s="545"/>
      <c r="L204" s="545"/>
      <c r="M204" s="545"/>
      <c r="N204" s="545"/>
      <c r="O204" s="545"/>
      <c r="P204" s="545"/>
      <c r="Q204" s="545"/>
      <c r="R204" s="545"/>
      <c r="S204" s="545"/>
      <c r="T204" s="545"/>
      <c r="U204" s="545"/>
      <c r="V204" s="545"/>
      <c r="W204" s="545"/>
    </row>
    <row r="205" ht="16.5" customHeight="1">
      <c r="A205" s="545"/>
      <c r="B205" s="545"/>
      <c r="C205" s="545"/>
      <c r="D205" s="545"/>
      <c r="E205" s="545"/>
      <c r="F205" s="545"/>
      <c r="G205" s="545"/>
      <c r="H205" s="545"/>
      <c r="I205" s="545"/>
      <c r="J205" s="545"/>
      <c r="K205" s="545"/>
      <c r="L205" s="545"/>
      <c r="M205" s="545"/>
      <c r="N205" s="545"/>
      <c r="O205" s="545"/>
      <c r="P205" s="545"/>
      <c r="Q205" s="545"/>
      <c r="R205" s="545"/>
      <c r="S205" s="545"/>
      <c r="T205" s="545"/>
      <c r="U205" s="545"/>
      <c r="V205" s="545"/>
      <c r="W205" s="545"/>
    </row>
    <row r="206" ht="16.5" customHeight="1">
      <c r="A206" s="545"/>
      <c r="B206" s="545"/>
      <c r="C206" s="545"/>
      <c r="D206" s="545"/>
      <c r="E206" s="545"/>
      <c r="F206" s="545"/>
      <c r="G206" s="545"/>
      <c r="H206" s="545"/>
      <c r="I206" s="545"/>
      <c r="J206" s="545"/>
      <c r="K206" s="545"/>
      <c r="L206" s="545"/>
      <c r="M206" s="545"/>
      <c r="N206" s="545"/>
      <c r="O206" s="545"/>
      <c r="P206" s="545"/>
      <c r="Q206" s="545"/>
      <c r="R206" s="545"/>
      <c r="S206" s="545"/>
      <c r="T206" s="545"/>
      <c r="U206" s="545"/>
      <c r="V206" s="545"/>
      <c r="W206" s="545"/>
    </row>
    <row r="207" ht="16.5" customHeight="1">
      <c r="A207" s="545"/>
      <c r="B207" s="545"/>
      <c r="C207" s="545"/>
      <c r="D207" s="545"/>
      <c r="E207" s="545"/>
      <c r="F207" s="545"/>
      <c r="G207" s="545"/>
      <c r="H207" s="545"/>
      <c r="I207" s="545"/>
      <c r="J207" s="545"/>
      <c r="K207" s="545"/>
      <c r="L207" s="545"/>
      <c r="M207" s="545"/>
      <c r="N207" s="545"/>
      <c r="O207" s="545"/>
      <c r="P207" s="545"/>
      <c r="Q207" s="545"/>
      <c r="R207" s="545"/>
      <c r="S207" s="545"/>
      <c r="T207" s="545"/>
      <c r="U207" s="545"/>
      <c r="V207" s="545"/>
      <c r="W207" s="545"/>
    </row>
    <row r="208" ht="16.5" customHeight="1">
      <c r="A208" s="545"/>
      <c r="B208" s="545"/>
      <c r="C208" s="545"/>
      <c r="D208" s="545"/>
      <c r="E208" s="545"/>
      <c r="F208" s="545"/>
      <c r="G208" s="545"/>
      <c r="H208" s="545"/>
      <c r="I208" s="545"/>
      <c r="J208" s="545"/>
      <c r="K208" s="545"/>
      <c r="L208" s="545"/>
      <c r="M208" s="545"/>
      <c r="N208" s="545"/>
      <c r="O208" s="545"/>
      <c r="P208" s="545"/>
      <c r="Q208" s="545"/>
      <c r="R208" s="545"/>
      <c r="S208" s="545"/>
      <c r="T208" s="545"/>
      <c r="U208" s="545"/>
      <c r="V208" s="545"/>
      <c r="W208" s="545"/>
    </row>
    <row r="209" ht="16.5" customHeight="1">
      <c r="A209" s="545"/>
      <c r="B209" s="545"/>
      <c r="C209" s="545"/>
      <c r="D209" s="545"/>
      <c r="E209" s="545"/>
      <c r="F209" s="545"/>
      <c r="G209" s="545"/>
      <c r="H209" s="545"/>
      <c r="I209" s="545"/>
      <c r="J209" s="545"/>
      <c r="K209" s="545"/>
      <c r="L209" s="545"/>
      <c r="M209" s="545"/>
      <c r="N209" s="545"/>
      <c r="O209" s="545"/>
      <c r="P209" s="545"/>
      <c r="Q209" s="545"/>
      <c r="R209" s="545"/>
      <c r="S209" s="545"/>
      <c r="T209" s="545"/>
      <c r="U209" s="545"/>
      <c r="V209" s="545"/>
      <c r="W209" s="545"/>
    </row>
    <row r="210" ht="16.5" customHeight="1">
      <c r="A210" s="545"/>
      <c r="B210" s="545"/>
      <c r="C210" s="545"/>
      <c r="D210" s="545"/>
      <c r="E210" s="545"/>
      <c r="F210" s="545"/>
      <c r="G210" s="545"/>
      <c r="H210" s="545"/>
      <c r="I210" s="545"/>
      <c r="J210" s="545"/>
      <c r="K210" s="545"/>
      <c r="L210" s="545"/>
      <c r="M210" s="545"/>
      <c r="N210" s="545"/>
      <c r="O210" s="545"/>
      <c r="P210" s="545"/>
      <c r="Q210" s="545"/>
      <c r="R210" s="545"/>
      <c r="S210" s="545"/>
      <c r="T210" s="545"/>
      <c r="U210" s="545"/>
      <c r="V210" s="545"/>
      <c r="W210" s="545"/>
    </row>
    <row r="211" ht="16.5" customHeight="1">
      <c r="A211" s="545"/>
      <c r="B211" s="545"/>
      <c r="C211" s="545"/>
      <c r="D211" s="545"/>
      <c r="E211" s="545"/>
      <c r="F211" s="545"/>
      <c r="G211" s="545"/>
      <c r="H211" s="545"/>
      <c r="I211" s="545"/>
      <c r="J211" s="545"/>
      <c r="K211" s="545"/>
      <c r="L211" s="545"/>
      <c r="M211" s="545"/>
      <c r="N211" s="545"/>
      <c r="O211" s="545"/>
      <c r="P211" s="545"/>
      <c r="Q211" s="545"/>
      <c r="R211" s="545"/>
      <c r="S211" s="545"/>
      <c r="T211" s="545"/>
      <c r="U211" s="545"/>
      <c r="V211" s="545"/>
      <c r="W211" s="545"/>
    </row>
    <row r="212" ht="16.5" customHeight="1">
      <c r="A212" s="545"/>
      <c r="B212" s="545"/>
      <c r="C212" s="545"/>
      <c r="D212" s="545"/>
      <c r="E212" s="545"/>
      <c r="F212" s="545"/>
      <c r="G212" s="545"/>
      <c r="H212" s="545"/>
      <c r="I212" s="545"/>
      <c r="J212" s="545"/>
      <c r="K212" s="545"/>
      <c r="L212" s="545"/>
      <c r="M212" s="545"/>
      <c r="N212" s="545"/>
      <c r="O212" s="545"/>
      <c r="P212" s="545"/>
      <c r="Q212" s="545"/>
      <c r="R212" s="545"/>
      <c r="S212" s="545"/>
      <c r="T212" s="545"/>
      <c r="U212" s="545"/>
      <c r="V212" s="545"/>
      <c r="W212" s="545"/>
    </row>
    <row r="213" ht="16.5" customHeight="1">
      <c r="A213" s="545"/>
      <c r="B213" s="545"/>
      <c r="C213" s="545"/>
      <c r="D213" s="545"/>
      <c r="E213" s="545"/>
      <c r="F213" s="545"/>
      <c r="G213" s="545"/>
      <c r="H213" s="545"/>
      <c r="I213" s="545"/>
      <c r="J213" s="545"/>
      <c r="K213" s="545"/>
      <c r="L213" s="545"/>
      <c r="M213" s="545"/>
      <c r="N213" s="545"/>
      <c r="O213" s="545"/>
      <c r="P213" s="545"/>
      <c r="Q213" s="545"/>
      <c r="R213" s="545"/>
      <c r="S213" s="545"/>
      <c r="T213" s="545"/>
      <c r="U213" s="545"/>
      <c r="V213" s="545"/>
      <c r="W213" s="545"/>
    </row>
    <row r="214" ht="16.5" customHeight="1">
      <c r="A214" s="545"/>
      <c r="B214" s="545"/>
      <c r="C214" s="545"/>
      <c r="D214" s="545"/>
      <c r="E214" s="545"/>
      <c r="F214" s="545"/>
      <c r="G214" s="545"/>
      <c r="H214" s="545"/>
      <c r="I214" s="545"/>
      <c r="J214" s="545"/>
      <c r="K214" s="545"/>
      <c r="L214" s="545"/>
      <c r="M214" s="545"/>
      <c r="N214" s="545"/>
      <c r="O214" s="545"/>
      <c r="P214" s="545"/>
      <c r="Q214" s="545"/>
      <c r="R214" s="545"/>
      <c r="S214" s="545"/>
      <c r="T214" s="545"/>
      <c r="U214" s="545"/>
      <c r="V214" s="545"/>
      <c r="W214" s="545"/>
    </row>
    <row r="215" ht="16.5" customHeight="1">
      <c r="A215" s="545"/>
      <c r="B215" s="545"/>
      <c r="C215" s="545"/>
      <c r="D215" s="545"/>
      <c r="E215" s="545"/>
      <c r="F215" s="545"/>
      <c r="G215" s="545"/>
      <c r="H215" s="545"/>
      <c r="I215" s="545"/>
      <c r="J215" s="545"/>
      <c r="K215" s="545"/>
      <c r="L215" s="545"/>
      <c r="M215" s="545"/>
      <c r="N215" s="545"/>
      <c r="O215" s="545"/>
      <c r="P215" s="545"/>
      <c r="Q215" s="545"/>
      <c r="R215" s="545"/>
      <c r="S215" s="545"/>
      <c r="T215" s="545"/>
      <c r="U215" s="545"/>
      <c r="V215" s="545"/>
      <c r="W215" s="545"/>
    </row>
    <row r="216" ht="16.5" customHeight="1">
      <c r="A216" s="545"/>
      <c r="B216" s="545"/>
      <c r="C216" s="545"/>
      <c r="D216" s="545"/>
      <c r="E216" s="545"/>
      <c r="F216" s="545"/>
      <c r="G216" s="545"/>
      <c r="H216" s="545"/>
      <c r="I216" s="545"/>
      <c r="J216" s="545"/>
      <c r="K216" s="545"/>
      <c r="L216" s="545"/>
      <c r="M216" s="545"/>
      <c r="N216" s="545"/>
      <c r="O216" s="545"/>
      <c r="P216" s="545"/>
      <c r="Q216" s="545"/>
      <c r="R216" s="545"/>
      <c r="S216" s="545"/>
      <c r="T216" s="545"/>
      <c r="U216" s="545"/>
      <c r="V216" s="545"/>
      <c r="W216" s="545"/>
    </row>
    <row r="217" ht="16.5" customHeight="1">
      <c r="A217" s="545"/>
      <c r="B217" s="545"/>
      <c r="C217" s="545"/>
      <c r="D217" s="545"/>
      <c r="E217" s="545"/>
      <c r="F217" s="545"/>
      <c r="G217" s="545"/>
      <c r="H217" s="545"/>
      <c r="I217" s="545"/>
      <c r="J217" s="545"/>
      <c r="K217" s="545"/>
      <c r="L217" s="545"/>
      <c r="M217" s="545"/>
      <c r="N217" s="545"/>
      <c r="O217" s="545"/>
      <c r="P217" s="545"/>
      <c r="Q217" s="545"/>
      <c r="R217" s="545"/>
      <c r="S217" s="545"/>
      <c r="T217" s="545"/>
      <c r="U217" s="545"/>
      <c r="V217" s="545"/>
      <c r="W217" s="545"/>
    </row>
    <row r="218" ht="16.5" customHeight="1">
      <c r="A218" s="545"/>
      <c r="B218" s="545"/>
      <c r="C218" s="545"/>
      <c r="D218" s="545"/>
      <c r="E218" s="545"/>
      <c r="F218" s="545"/>
      <c r="G218" s="545"/>
      <c r="H218" s="545"/>
      <c r="I218" s="545"/>
      <c r="J218" s="545"/>
      <c r="K218" s="545"/>
      <c r="L218" s="545"/>
      <c r="M218" s="545"/>
      <c r="N218" s="545"/>
      <c r="O218" s="545"/>
      <c r="P218" s="545"/>
      <c r="Q218" s="545"/>
      <c r="R218" s="545"/>
      <c r="S218" s="545"/>
      <c r="T218" s="545"/>
      <c r="U218" s="545"/>
      <c r="V218" s="545"/>
      <c r="W218" s="545"/>
    </row>
    <row r="219" ht="16.5" customHeight="1">
      <c r="A219" s="545"/>
      <c r="B219" s="545"/>
      <c r="C219" s="545"/>
      <c r="D219" s="545"/>
      <c r="E219" s="545"/>
      <c r="F219" s="545"/>
      <c r="G219" s="545"/>
      <c r="H219" s="545"/>
      <c r="I219" s="545"/>
      <c r="J219" s="545"/>
      <c r="K219" s="545"/>
      <c r="L219" s="545"/>
      <c r="M219" s="545"/>
      <c r="N219" s="545"/>
      <c r="O219" s="545"/>
      <c r="P219" s="545"/>
      <c r="Q219" s="545"/>
      <c r="R219" s="545"/>
      <c r="S219" s="545"/>
      <c r="T219" s="545"/>
      <c r="U219" s="545"/>
      <c r="V219" s="545"/>
      <c r="W219" s="545"/>
    </row>
    <row r="220" ht="16.5" customHeight="1">
      <c r="A220" s="545"/>
      <c r="B220" s="545"/>
      <c r="C220" s="545"/>
      <c r="D220" s="545"/>
      <c r="E220" s="545"/>
      <c r="F220" s="545"/>
      <c r="G220" s="545"/>
      <c r="H220" s="545"/>
      <c r="I220" s="545"/>
      <c r="J220" s="545"/>
      <c r="K220" s="545"/>
      <c r="L220" s="545"/>
      <c r="M220" s="545"/>
      <c r="N220" s="545"/>
      <c r="O220" s="545"/>
      <c r="P220" s="545"/>
      <c r="Q220" s="545"/>
      <c r="R220" s="545"/>
      <c r="S220" s="545"/>
      <c r="T220" s="545"/>
      <c r="U220" s="545"/>
      <c r="V220" s="545"/>
      <c r="W220" s="545"/>
    </row>
    <row r="221" ht="16.5" customHeight="1">
      <c r="A221" s="545"/>
      <c r="B221" s="545"/>
      <c r="C221" s="545"/>
      <c r="D221" s="545"/>
      <c r="E221" s="545"/>
      <c r="F221" s="545"/>
      <c r="G221" s="545"/>
      <c r="H221" s="545"/>
      <c r="I221" s="545"/>
      <c r="J221" s="545"/>
      <c r="K221" s="545"/>
      <c r="L221" s="545"/>
      <c r="M221" s="545"/>
      <c r="N221" s="545"/>
      <c r="O221" s="545"/>
      <c r="P221" s="545"/>
      <c r="Q221" s="545"/>
      <c r="R221" s="545"/>
      <c r="S221" s="545"/>
      <c r="T221" s="545"/>
      <c r="U221" s="545"/>
      <c r="V221" s="545"/>
      <c r="W221" s="545"/>
    </row>
    <row r="222" ht="16.5" customHeight="1">
      <c r="A222" s="545"/>
      <c r="B222" s="545"/>
      <c r="C222" s="545"/>
      <c r="D222" s="545"/>
      <c r="E222" s="545"/>
      <c r="F222" s="545"/>
      <c r="G222" s="545"/>
      <c r="H222" s="545"/>
      <c r="I222" s="545"/>
      <c r="J222" s="545"/>
      <c r="K222" s="545"/>
      <c r="L222" s="545"/>
      <c r="M222" s="545"/>
      <c r="N222" s="545"/>
      <c r="O222" s="545"/>
      <c r="P222" s="545"/>
      <c r="Q222" s="545"/>
      <c r="R222" s="545"/>
      <c r="S222" s="545"/>
      <c r="T222" s="545"/>
      <c r="U222" s="545"/>
      <c r="V222" s="545"/>
      <c r="W222" s="545"/>
    </row>
    <row r="223" ht="16.5" customHeight="1">
      <c r="A223" s="545"/>
      <c r="B223" s="545"/>
      <c r="C223" s="545"/>
      <c r="D223" s="545"/>
      <c r="E223" s="545"/>
      <c r="F223" s="545"/>
      <c r="G223" s="545"/>
      <c r="H223" s="545"/>
      <c r="I223" s="545"/>
      <c r="J223" s="545"/>
      <c r="K223" s="545"/>
      <c r="L223" s="545"/>
      <c r="M223" s="545"/>
      <c r="N223" s="545"/>
      <c r="O223" s="545"/>
      <c r="P223" s="545"/>
      <c r="Q223" s="545"/>
      <c r="R223" s="545"/>
      <c r="S223" s="545"/>
      <c r="T223" s="545"/>
      <c r="U223" s="545"/>
      <c r="V223" s="545"/>
      <c r="W223" s="545"/>
    </row>
    <row r="224" ht="16.5" customHeight="1">
      <c r="A224" s="545"/>
      <c r="B224" s="545"/>
      <c r="C224" s="545"/>
      <c r="D224" s="545"/>
      <c r="E224" s="545"/>
      <c r="F224" s="545"/>
      <c r="G224" s="545"/>
      <c r="H224" s="545"/>
      <c r="I224" s="545"/>
      <c r="J224" s="545"/>
      <c r="K224" s="545"/>
      <c r="L224" s="545"/>
      <c r="M224" s="545"/>
      <c r="N224" s="545"/>
      <c r="O224" s="545"/>
      <c r="P224" s="545"/>
      <c r="Q224" s="545"/>
      <c r="R224" s="545"/>
      <c r="S224" s="545"/>
      <c r="T224" s="545"/>
      <c r="U224" s="545"/>
      <c r="V224" s="545"/>
      <c r="W224" s="545"/>
    </row>
    <row r="225" ht="16.5" customHeight="1">
      <c r="A225" s="545"/>
      <c r="B225" s="545"/>
      <c r="C225" s="545"/>
      <c r="D225" s="545"/>
      <c r="E225" s="545"/>
      <c r="F225" s="545"/>
      <c r="G225" s="545"/>
      <c r="H225" s="545"/>
      <c r="I225" s="545"/>
      <c r="J225" s="545"/>
      <c r="K225" s="545"/>
      <c r="L225" s="545"/>
      <c r="M225" s="545"/>
      <c r="N225" s="545"/>
      <c r="O225" s="545"/>
      <c r="P225" s="545"/>
      <c r="Q225" s="545"/>
      <c r="R225" s="545"/>
      <c r="S225" s="545"/>
      <c r="T225" s="545"/>
      <c r="U225" s="545"/>
      <c r="V225" s="545"/>
      <c r="W225" s="545"/>
    </row>
    <row r="226" ht="16.5" customHeight="1">
      <c r="A226" s="545"/>
      <c r="B226" s="545"/>
      <c r="C226" s="545"/>
      <c r="D226" s="545"/>
      <c r="E226" s="545"/>
      <c r="F226" s="545"/>
      <c r="G226" s="545"/>
      <c r="H226" s="545"/>
      <c r="I226" s="545"/>
      <c r="J226" s="545"/>
      <c r="K226" s="545"/>
      <c r="L226" s="545"/>
      <c r="M226" s="545"/>
      <c r="N226" s="545"/>
      <c r="O226" s="545"/>
      <c r="P226" s="545"/>
      <c r="Q226" s="545"/>
      <c r="R226" s="545"/>
      <c r="S226" s="545"/>
      <c r="T226" s="545"/>
      <c r="U226" s="545"/>
      <c r="V226" s="545"/>
      <c r="W226" s="545"/>
    </row>
    <row r="227" ht="16.5" customHeight="1">
      <c r="A227" s="545"/>
      <c r="B227" s="545"/>
      <c r="C227" s="545"/>
      <c r="D227" s="545"/>
      <c r="E227" s="545"/>
      <c r="F227" s="545"/>
      <c r="G227" s="545"/>
      <c r="H227" s="545"/>
      <c r="I227" s="545"/>
      <c r="J227" s="545"/>
      <c r="K227" s="545"/>
      <c r="L227" s="545"/>
      <c r="M227" s="545"/>
      <c r="N227" s="545"/>
      <c r="O227" s="545"/>
      <c r="P227" s="545"/>
      <c r="Q227" s="545"/>
      <c r="R227" s="545"/>
      <c r="S227" s="545"/>
      <c r="T227" s="545"/>
      <c r="U227" s="545"/>
      <c r="V227" s="545"/>
      <c r="W227" s="545"/>
    </row>
    <row r="228" ht="16.5" customHeight="1">
      <c r="A228" s="545"/>
      <c r="B228" s="545"/>
      <c r="C228" s="545"/>
      <c r="D228" s="545"/>
      <c r="E228" s="545"/>
      <c r="F228" s="545"/>
      <c r="G228" s="545"/>
      <c r="H228" s="545"/>
      <c r="I228" s="545"/>
      <c r="J228" s="545"/>
      <c r="K228" s="545"/>
      <c r="L228" s="545"/>
      <c r="M228" s="545"/>
      <c r="N228" s="545"/>
      <c r="O228" s="545"/>
      <c r="P228" s="545"/>
      <c r="Q228" s="545"/>
      <c r="R228" s="545"/>
      <c r="S228" s="545"/>
      <c r="T228" s="545"/>
      <c r="U228" s="545"/>
      <c r="V228" s="545"/>
      <c r="W228" s="545"/>
    </row>
    <row r="229" ht="16.5" customHeight="1">
      <c r="A229" s="545"/>
      <c r="B229" s="545"/>
      <c r="C229" s="545"/>
      <c r="D229" s="545"/>
      <c r="E229" s="545"/>
      <c r="F229" s="545"/>
      <c r="G229" s="545"/>
      <c r="H229" s="545"/>
      <c r="I229" s="545"/>
      <c r="J229" s="545"/>
      <c r="K229" s="545"/>
      <c r="L229" s="545"/>
      <c r="M229" s="545"/>
      <c r="N229" s="545"/>
      <c r="O229" s="545"/>
      <c r="P229" s="545"/>
      <c r="Q229" s="545"/>
      <c r="R229" s="545"/>
      <c r="S229" s="545"/>
      <c r="T229" s="545"/>
      <c r="U229" s="545"/>
      <c r="V229" s="545"/>
      <c r="W229" s="545"/>
    </row>
    <row r="230" ht="16.5" customHeight="1">
      <c r="A230" s="545"/>
      <c r="B230" s="545"/>
      <c r="C230" s="545"/>
      <c r="D230" s="545"/>
      <c r="E230" s="545"/>
      <c r="F230" s="545"/>
      <c r="G230" s="545"/>
      <c r="H230" s="545"/>
      <c r="I230" s="545"/>
      <c r="J230" s="545"/>
      <c r="K230" s="545"/>
      <c r="L230" s="545"/>
      <c r="M230" s="545"/>
      <c r="N230" s="545"/>
      <c r="O230" s="545"/>
      <c r="P230" s="545"/>
      <c r="Q230" s="545"/>
      <c r="R230" s="545"/>
      <c r="S230" s="545"/>
      <c r="T230" s="545"/>
      <c r="U230" s="545"/>
      <c r="V230" s="545"/>
      <c r="W230" s="545"/>
    </row>
    <row r="231" ht="16.5" customHeight="1">
      <c r="A231" s="545"/>
      <c r="B231" s="545"/>
      <c r="C231" s="545"/>
      <c r="D231" s="545"/>
      <c r="E231" s="545"/>
      <c r="F231" s="545"/>
      <c r="G231" s="545"/>
      <c r="H231" s="545"/>
      <c r="I231" s="545"/>
      <c r="J231" s="545"/>
      <c r="K231" s="545"/>
      <c r="L231" s="545"/>
      <c r="M231" s="545"/>
      <c r="N231" s="545"/>
      <c r="O231" s="545"/>
      <c r="P231" s="545"/>
      <c r="Q231" s="545"/>
      <c r="R231" s="545"/>
      <c r="S231" s="545"/>
      <c r="T231" s="545"/>
      <c r="U231" s="545"/>
      <c r="V231" s="545"/>
      <c r="W231" s="545"/>
    </row>
    <row r="232" ht="16.5" customHeight="1">
      <c r="A232" s="545"/>
      <c r="B232" s="545"/>
      <c r="C232" s="545"/>
      <c r="D232" s="545"/>
      <c r="E232" s="545"/>
      <c r="F232" s="545"/>
      <c r="G232" s="545"/>
      <c r="H232" s="545"/>
      <c r="I232" s="545"/>
      <c r="J232" s="545"/>
      <c r="K232" s="545"/>
      <c r="L232" s="545"/>
      <c r="M232" s="545"/>
      <c r="N232" s="545"/>
      <c r="O232" s="545"/>
      <c r="P232" s="545"/>
      <c r="Q232" s="545"/>
      <c r="R232" s="545"/>
      <c r="S232" s="545"/>
      <c r="T232" s="545"/>
      <c r="U232" s="545"/>
      <c r="V232" s="545"/>
      <c r="W232" s="545"/>
    </row>
    <row r="233" ht="16.5" customHeight="1">
      <c r="A233" s="545"/>
      <c r="B233" s="545"/>
      <c r="C233" s="545"/>
      <c r="D233" s="545"/>
      <c r="E233" s="545"/>
      <c r="F233" s="545"/>
      <c r="G233" s="545"/>
      <c r="H233" s="545"/>
      <c r="I233" s="545"/>
      <c r="J233" s="545"/>
      <c r="K233" s="545"/>
      <c r="L233" s="545"/>
      <c r="M233" s="545"/>
      <c r="N233" s="545"/>
      <c r="O233" s="545"/>
      <c r="P233" s="545"/>
      <c r="Q233" s="545"/>
      <c r="R233" s="545"/>
      <c r="S233" s="545"/>
      <c r="T233" s="545"/>
      <c r="U233" s="545"/>
      <c r="V233" s="545"/>
      <c r="W233" s="545"/>
    </row>
    <row r="234" ht="16.5" customHeight="1">
      <c r="A234" s="545"/>
      <c r="B234" s="545"/>
      <c r="C234" s="545"/>
      <c r="D234" s="545"/>
      <c r="E234" s="545"/>
      <c r="F234" s="545"/>
      <c r="G234" s="545"/>
      <c r="H234" s="545"/>
      <c r="I234" s="545"/>
      <c r="J234" s="545"/>
      <c r="K234" s="545"/>
      <c r="L234" s="545"/>
      <c r="M234" s="545"/>
      <c r="N234" s="545"/>
      <c r="O234" s="545"/>
      <c r="P234" s="545"/>
      <c r="Q234" s="545"/>
      <c r="R234" s="545"/>
      <c r="S234" s="545"/>
      <c r="T234" s="545"/>
      <c r="U234" s="545"/>
      <c r="V234" s="545"/>
      <c r="W234" s="545"/>
    </row>
    <row r="235" ht="16.5" customHeight="1">
      <c r="A235" s="545"/>
      <c r="B235" s="545"/>
      <c r="C235" s="545"/>
      <c r="D235" s="545"/>
      <c r="E235" s="545"/>
      <c r="F235" s="545"/>
      <c r="G235" s="545"/>
      <c r="H235" s="545"/>
      <c r="I235" s="545"/>
      <c r="J235" s="545"/>
      <c r="K235" s="545"/>
      <c r="L235" s="545"/>
      <c r="M235" s="545"/>
      <c r="N235" s="545"/>
      <c r="O235" s="545"/>
      <c r="P235" s="545"/>
      <c r="Q235" s="545"/>
      <c r="R235" s="545"/>
      <c r="S235" s="545"/>
      <c r="T235" s="545"/>
      <c r="U235" s="545"/>
      <c r="V235" s="545"/>
      <c r="W235" s="545"/>
    </row>
    <row r="236" ht="16.5" customHeight="1">
      <c r="A236" s="545"/>
      <c r="B236" s="545"/>
      <c r="C236" s="545"/>
      <c r="D236" s="545"/>
      <c r="E236" s="545"/>
      <c r="F236" s="545"/>
      <c r="G236" s="545"/>
      <c r="H236" s="545"/>
      <c r="I236" s="545"/>
      <c r="J236" s="545"/>
      <c r="K236" s="545"/>
      <c r="L236" s="545"/>
      <c r="M236" s="545"/>
      <c r="N236" s="545"/>
      <c r="O236" s="545"/>
      <c r="P236" s="545"/>
      <c r="Q236" s="545"/>
      <c r="R236" s="545"/>
      <c r="S236" s="545"/>
      <c r="T236" s="545"/>
      <c r="U236" s="545"/>
      <c r="V236" s="545"/>
      <c r="W236" s="545"/>
    </row>
    <row r="237" ht="16.5" customHeight="1">
      <c r="A237" s="545"/>
      <c r="B237" s="545"/>
      <c r="C237" s="545"/>
      <c r="D237" s="545"/>
      <c r="E237" s="545"/>
      <c r="F237" s="545"/>
      <c r="G237" s="545"/>
      <c r="H237" s="545"/>
      <c r="I237" s="545"/>
      <c r="J237" s="545"/>
      <c r="K237" s="545"/>
      <c r="L237" s="545"/>
      <c r="M237" s="545"/>
      <c r="N237" s="545"/>
      <c r="O237" s="545"/>
      <c r="P237" s="545"/>
      <c r="Q237" s="545"/>
      <c r="R237" s="545"/>
      <c r="S237" s="545"/>
      <c r="T237" s="545"/>
      <c r="U237" s="545"/>
      <c r="V237" s="545"/>
      <c r="W237" s="545"/>
    </row>
    <row r="238" ht="16.5" customHeight="1">
      <c r="A238" s="545"/>
      <c r="B238" s="545"/>
      <c r="C238" s="545"/>
      <c r="D238" s="545"/>
      <c r="E238" s="545"/>
      <c r="F238" s="545"/>
      <c r="G238" s="545"/>
      <c r="H238" s="545"/>
      <c r="I238" s="545"/>
      <c r="J238" s="545"/>
      <c r="K238" s="545"/>
      <c r="L238" s="545"/>
      <c r="M238" s="545"/>
      <c r="N238" s="545"/>
      <c r="O238" s="545"/>
      <c r="P238" s="545"/>
      <c r="Q238" s="545"/>
      <c r="R238" s="545"/>
      <c r="S238" s="545"/>
      <c r="T238" s="545"/>
      <c r="U238" s="545"/>
      <c r="V238" s="545"/>
      <c r="W238" s="545"/>
    </row>
    <row r="239" ht="16.5" customHeight="1">
      <c r="A239" s="545"/>
      <c r="B239" s="545"/>
      <c r="C239" s="545"/>
      <c r="D239" s="545"/>
      <c r="E239" s="545"/>
      <c r="F239" s="545"/>
      <c r="G239" s="545"/>
      <c r="H239" s="545"/>
      <c r="I239" s="545"/>
      <c r="J239" s="545"/>
      <c r="K239" s="545"/>
      <c r="L239" s="545"/>
      <c r="M239" s="545"/>
      <c r="N239" s="545"/>
      <c r="O239" s="545"/>
      <c r="P239" s="545"/>
      <c r="Q239" s="545"/>
      <c r="R239" s="545"/>
      <c r="S239" s="545"/>
      <c r="T239" s="545"/>
      <c r="U239" s="545"/>
      <c r="V239" s="545"/>
      <c r="W239" s="545"/>
    </row>
    <row r="240" ht="16.5" customHeight="1">
      <c r="A240" s="545"/>
      <c r="B240" s="545"/>
      <c r="C240" s="545"/>
      <c r="D240" s="545"/>
      <c r="E240" s="545"/>
      <c r="F240" s="545"/>
      <c r="G240" s="545"/>
      <c r="H240" s="545"/>
      <c r="I240" s="545"/>
      <c r="J240" s="545"/>
      <c r="K240" s="545"/>
      <c r="L240" s="545"/>
      <c r="M240" s="545"/>
      <c r="N240" s="545"/>
      <c r="O240" s="545"/>
      <c r="P240" s="545"/>
      <c r="Q240" s="545"/>
      <c r="R240" s="545"/>
      <c r="S240" s="545"/>
      <c r="T240" s="545"/>
      <c r="U240" s="545"/>
      <c r="V240" s="545"/>
      <c r="W240" s="545"/>
    </row>
    <row r="241" ht="16.5" customHeight="1">
      <c r="A241" s="545"/>
      <c r="B241" s="545"/>
      <c r="C241" s="545"/>
      <c r="D241" s="545"/>
      <c r="E241" s="545"/>
      <c r="F241" s="545"/>
      <c r="G241" s="545"/>
      <c r="H241" s="545"/>
      <c r="I241" s="545"/>
      <c r="J241" s="545"/>
      <c r="K241" s="545"/>
      <c r="L241" s="545"/>
      <c r="M241" s="545"/>
      <c r="N241" s="545"/>
      <c r="O241" s="545"/>
      <c r="P241" s="545"/>
      <c r="Q241" s="545"/>
      <c r="R241" s="545"/>
      <c r="S241" s="545"/>
      <c r="T241" s="545"/>
      <c r="U241" s="545"/>
      <c r="V241" s="545"/>
      <c r="W241" s="545"/>
    </row>
    <row r="242" ht="16.5" customHeight="1">
      <c r="A242" s="545"/>
      <c r="B242" s="545"/>
      <c r="C242" s="545"/>
      <c r="D242" s="545"/>
      <c r="E242" s="545"/>
      <c r="F242" s="545"/>
      <c r="G242" s="545"/>
      <c r="H242" s="545"/>
      <c r="I242" s="545"/>
      <c r="J242" s="545"/>
      <c r="K242" s="545"/>
      <c r="L242" s="545"/>
      <c r="M242" s="545"/>
      <c r="N242" s="545"/>
      <c r="O242" s="545"/>
      <c r="P242" s="545"/>
      <c r="Q242" s="545"/>
      <c r="R242" s="545"/>
      <c r="S242" s="545"/>
      <c r="T242" s="545"/>
      <c r="U242" s="545"/>
      <c r="V242" s="545"/>
      <c r="W242" s="545"/>
    </row>
    <row r="243" ht="16.5" customHeight="1">
      <c r="A243" s="545"/>
      <c r="B243" s="545"/>
      <c r="C243" s="545"/>
      <c r="D243" s="545"/>
      <c r="E243" s="545"/>
      <c r="F243" s="545"/>
      <c r="G243" s="545"/>
      <c r="H243" s="545"/>
      <c r="I243" s="545"/>
      <c r="J243" s="545"/>
      <c r="K243" s="545"/>
      <c r="L243" s="545"/>
      <c r="M243" s="545"/>
      <c r="N243" s="545"/>
      <c r="O243" s="545"/>
      <c r="P243" s="545"/>
      <c r="Q243" s="545"/>
      <c r="R243" s="545"/>
      <c r="S243" s="545"/>
      <c r="T243" s="545"/>
      <c r="U243" s="545"/>
      <c r="V243" s="545"/>
      <c r="W243" s="545"/>
    </row>
    <row r="244" ht="16.5" customHeight="1">
      <c r="A244" s="545"/>
      <c r="B244" s="545"/>
      <c r="C244" s="545"/>
      <c r="D244" s="545"/>
      <c r="E244" s="545"/>
      <c r="F244" s="545"/>
      <c r="G244" s="545"/>
      <c r="H244" s="545"/>
      <c r="I244" s="545"/>
      <c r="J244" s="545"/>
      <c r="K244" s="545"/>
      <c r="L244" s="545"/>
      <c r="M244" s="545"/>
      <c r="N244" s="545"/>
      <c r="O244" s="545"/>
      <c r="P244" s="545"/>
      <c r="Q244" s="545"/>
      <c r="R244" s="545"/>
      <c r="S244" s="545"/>
      <c r="T244" s="545"/>
      <c r="U244" s="545"/>
      <c r="V244" s="545"/>
      <c r="W244" s="545"/>
    </row>
    <row r="245" ht="16.5" customHeight="1">
      <c r="A245" s="545"/>
      <c r="B245" s="545"/>
      <c r="C245" s="545"/>
      <c r="D245" s="545"/>
      <c r="E245" s="545"/>
      <c r="F245" s="545"/>
      <c r="G245" s="545"/>
      <c r="H245" s="545"/>
      <c r="I245" s="545"/>
      <c r="J245" s="545"/>
      <c r="K245" s="545"/>
      <c r="L245" s="545"/>
      <c r="M245" s="545"/>
      <c r="N245" s="545"/>
      <c r="O245" s="545"/>
      <c r="P245" s="545"/>
      <c r="Q245" s="545"/>
      <c r="R245" s="545"/>
      <c r="S245" s="545"/>
      <c r="T245" s="545"/>
      <c r="U245" s="545"/>
      <c r="V245" s="545"/>
      <c r="W245" s="545"/>
    </row>
    <row r="246" ht="16.5" customHeight="1">
      <c r="A246" s="545"/>
      <c r="B246" s="545"/>
      <c r="C246" s="545"/>
      <c r="D246" s="545"/>
      <c r="E246" s="545"/>
      <c r="F246" s="545"/>
      <c r="G246" s="545"/>
      <c r="H246" s="545"/>
      <c r="I246" s="545"/>
      <c r="J246" s="545"/>
      <c r="K246" s="545"/>
      <c r="L246" s="545"/>
      <c r="M246" s="545"/>
      <c r="N246" s="545"/>
      <c r="O246" s="545"/>
      <c r="P246" s="545"/>
      <c r="Q246" s="545"/>
      <c r="R246" s="545"/>
      <c r="S246" s="545"/>
      <c r="T246" s="545"/>
      <c r="U246" s="545"/>
      <c r="V246" s="545"/>
      <c r="W246" s="545"/>
    </row>
    <row r="247" ht="16.5" customHeight="1">
      <c r="A247" s="545"/>
      <c r="B247" s="545"/>
      <c r="C247" s="545"/>
      <c r="D247" s="545"/>
      <c r="E247" s="545"/>
      <c r="F247" s="545"/>
      <c r="G247" s="545"/>
      <c r="H247" s="545"/>
      <c r="I247" s="545"/>
      <c r="J247" s="545"/>
      <c r="K247" s="545"/>
      <c r="L247" s="545"/>
      <c r="M247" s="545"/>
      <c r="N247" s="545"/>
      <c r="O247" s="545"/>
      <c r="P247" s="545"/>
      <c r="Q247" s="545"/>
      <c r="R247" s="545"/>
      <c r="S247" s="545"/>
      <c r="T247" s="545"/>
      <c r="U247" s="545"/>
      <c r="V247" s="545"/>
      <c r="W247" s="545"/>
    </row>
    <row r="248" ht="16.5" customHeight="1">
      <c r="A248" s="545"/>
      <c r="B248" s="545"/>
      <c r="C248" s="545"/>
      <c r="D248" s="545"/>
      <c r="E248" s="545"/>
      <c r="F248" s="545"/>
      <c r="G248" s="545"/>
      <c r="H248" s="545"/>
      <c r="I248" s="545"/>
      <c r="J248" s="545"/>
      <c r="K248" s="545"/>
      <c r="L248" s="545"/>
      <c r="M248" s="545"/>
      <c r="N248" s="545"/>
      <c r="O248" s="545"/>
      <c r="P248" s="545"/>
      <c r="Q248" s="545"/>
      <c r="R248" s="545"/>
      <c r="S248" s="545"/>
      <c r="T248" s="545"/>
      <c r="U248" s="545"/>
      <c r="V248" s="545"/>
      <c r="W248" s="545"/>
    </row>
    <row r="249" ht="16.5" customHeight="1">
      <c r="A249" s="545"/>
      <c r="B249" s="545"/>
      <c r="C249" s="545"/>
      <c r="D249" s="545"/>
      <c r="E249" s="545"/>
      <c r="F249" s="545"/>
      <c r="G249" s="545"/>
      <c r="H249" s="545"/>
      <c r="I249" s="545"/>
      <c r="J249" s="545"/>
      <c r="K249" s="545"/>
      <c r="L249" s="545"/>
      <c r="M249" s="545"/>
      <c r="N249" s="545"/>
      <c r="O249" s="545"/>
      <c r="P249" s="545"/>
      <c r="Q249" s="545"/>
      <c r="R249" s="545"/>
      <c r="S249" s="545"/>
      <c r="T249" s="545"/>
      <c r="U249" s="545"/>
      <c r="V249" s="545"/>
      <c r="W249" s="545"/>
    </row>
    <row r="250" ht="16.5" customHeight="1">
      <c r="A250" s="545"/>
      <c r="B250" s="545"/>
      <c r="C250" s="545"/>
      <c r="D250" s="545"/>
      <c r="E250" s="545"/>
      <c r="F250" s="545"/>
      <c r="G250" s="545"/>
      <c r="H250" s="545"/>
      <c r="I250" s="545"/>
      <c r="J250" s="545"/>
      <c r="K250" s="545"/>
      <c r="L250" s="545"/>
      <c r="M250" s="545"/>
      <c r="N250" s="545"/>
      <c r="O250" s="545"/>
      <c r="P250" s="545"/>
      <c r="Q250" s="545"/>
      <c r="R250" s="545"/>
      <c r="S250" s="545"/>
      <c r="T250" s="545"/>
      <c r="U250" s="545"/>
      <c r="V250" s="545"/>
      <c r="W250" s="545"/>
    </row>
    <row r="251" ht="16.5" customHeight="1">
      <c r="A251" s="545"/>
      <c r="B251" s="545"/>
      <c r="C251" s="545"/>
      <c r="D251" s="545"/>
      <c r="E251" s="545"/>
      <c r="F251" s="545"/>
      <c r="G251" s="545"/>
      <c r="H251" s="545"/>
      <c r="I251" s="545"/>
      <c r="J251" s="545"/>
      <c r="K251" s="545"/>
      <c r="L251" s="545"/>
      <c r="M251" s="545"/>
      <c r="N251" s="545"/>
      <c r="O251" s="545"/>
      <c r="P251" s="545"/>
      <c r="Q251" s="545"/>
      <c r="R251" s="545"/>
      <c r="S251" s="545"/>
      <c r="T251" s="545"/>
      <c r="U251" s="545"/>
      <c r="V251" s="545"/>
      <c r="W251" s="545"/>
    </row>
    <row r="252" ht="16.5" customHeight="1">
      <c r="A252" s="545"/>
      <c r="B252" s="545"/>
      <c r="C252" s="545"/>
      <c r="D252" s="545"/>
      <c r="E252" s="545"/>
      <c r="F252" s="545"/>
      <c r="G252" s="545"/>
      <c r="H252" s="545"/>
      <c r="I252" s="545"/>
      <c r="J252" s="545"/>
      <c r="K252" s="545"/>
      <c r="L252" s="545"/>
      <c r="M252" s="545"/>
      <c r="N252" s="545"/>
      <c r="O252" s="545"/>
      <c r="P252" s="545"/>
      <c r="Q252" s="545"/>
      <c r="R252" s="545"/>
      <c r="S252" s="545"/>
      <c r="T252" s="545"/>
      <c r="U252" s="545"/>
      <c r="V252" s="545"/>
      <c r="W252" s="545"/>
    </row>
    <row r="253" ht="16.5" customHeight="1">
      <c r="A253" s="545"/>
      <c r="B253" s="545"/>
      <c r="C253" s="545"/>
      <c r="D253" s="545"/>
      <c r="E253" s="545"/>
      <c r="F253" s="545"/>
      <c r="G253" s="545"/>
      <c r="H253" s="545"/>
      <c r="I253" s="545"/>
      <c r="J253" s="545"/>
      <c r="K253" s="545"/>
      <c r="L253" s="545"/>
      <c r="M253" s="545"/>
      <c r="N253" s="545"/>
      <c r="O253" s="545"/>
      <c r="P253" s="545"/>
      <c r="Q253" s="545"/>
      <c r="R253" s="545"/>
      <c r="S253" s="545"/>
      <c r="T253" s="545"/>
      <c r="U253" s="545"/>
      <c r="V253" s="545"/>
      <c r="W253" s="545"/>
    </row>
    <row r="254" ht="16.5" customHeight="1">
      <c r="A254" s="545"/>
      <c r="B254" s="545"/>
      <c r="C254" s="545"/>
      <c r="D254" s="545"/>
      <c r="E254" s="545"/>
      <c r="F254" s="545"/>
      <c r="G254" s="545"/>
      <c r="H254" s="545"/>
      <c r="I254" s="545"/>
      <c r="J254" s="545"/>
      <c r="K254" s="545"/>
      <c r="L254" s="545"/>
      <c r="M254" s="545"/>
      <c r="N254" s="545"/>
      <c r="O254" s="545"/>
      <c r="P254" s="545"/>
      <c r="Q254" s="545"/>
      <c r="R254" s="545"/>
      <c r="S254" s="545"/>
      <c r="T254" s="545"/>
      <c r="U254" s="545"/>
      <c r="V254" s="545"/>
      <c r="W254" s="545"/>
    </row>
    <row r="255" ht="16.5" customHeight="1">
      <c r="A255" s="545"/>
      <c r="B255" s="545"/>
      <c r="C255" s="545"/>
      <c r="D255" s="545"/>
      <c r="E255" s="545"/>
      <c r="F255" s="545"/>
      <c r="G255" s="545"/>
      <c r="H255" s="545"/>
      <c r="I255" s="545"/>
      <c r="J255" s="545"/>
      <c r="K255" s="545"/>
      <c r="L255" s="545"/>
      <c r="M255" s="545"/>
      <c r="N255" s="545"/>
      <c r="O255" s="545"/>
      <c r="P255" s="545"/>
      <c r="Q255" s="545"/>
      <c r="R255" s="545"/>
      <c r="S255" s="545"/>
      <c r="T255" s="545"/>
      <c r="U255" s="545"/>
      <c r="V255" s="545"/>
      <c r="W255" s="545"/>
    </row>
    <row r="256" ht="16.5" customHeight="1">
      <c r="A256" s="545"/>
      <c r="B256" s="545"/>
      <c r="C256" s="545"/>
      <c r="D256" s="545"/>
      <c r="E256" s="545"/>
      <c r="F256" s="545"/>
      <c r="G256" s="545"/>
      <c r="H256" s="545"/>
      <c r="I256" s="545"/>
      <c r="J256" s="545"/>
      <c r="K256" s="545"/>
      <c r="L256" s="545"/>
      <c r="M256" s="545"/>
      <c r="N256" s="545"/>
      <c r="O256" s="545"/>
      <c r="P256" s="545"/>
      <c r="Q256" s="545"/>
      <c r="R256" s="545"/>
      <c r="S256" s="545"/>
      <c r="T256" s="545"/>
      <c r="U256" s="545"/>
      <c r="V256" s="545"/>
      <c r="W256" s="545"/>
    </row>
    <row r="257" ht="16.5" customHeight="1">
      <c r="A257" s="545"/>
      <c r="B257" s="545"/>
      <c r="C257" s="545"/>
      <c r="D257" s="545"/>
      <c r="E257" s="545"/>
      <c r="F257" s="545"/>
      <c r="G257" s="545"/>
      <c r="H257" s="545"/>
      <c r="I257" s="545"/>
      <c r="J257" s="545"/>
      <c r="K257" s="545"/>
      <c r="L257" s="545"/>
      <c r="M257" s="545"/>
      <c r="N257" s="545"/>
      <c r="O257" s="545"/>
      <c r="P257" s="545"/>
      <c r="Q257" s="545"/>
      <c r="R257" s="545"/>
      <c r="S257" s="545"/>
      <c r="T257" s="545"/>
      <c r="U257" s="545"/>
      <c r="V257" s="545"/>
      <c r="W257" s="545"/>
    </row>
    <row r="258" ht="16.5" customHeight="1">
      <c r="A258" s="545"/>
      <c r="B258" s="545"/>
      <c r="C258" s="545"/>
      <c r="D258" s="545"/>
      <c r="E258" s="545"/>
      <c r="F258" s="545"/>
      <c r="G258" s="545"/>
      <c r="H258" s="545"/>
      <c r="I258" s="545"/>
      <c r="J258" s="545"/>
      <c r="K258" s="545"/>
      <c r="L258" s="545"/>
      <c r="M258" s="545"/>
      <c r="N258" s="545"/>
      <c r="O258" s="545"/>
      <c r="P258" s="545"/>
      <c r="Q258" s="545"/>
      <c r="R258" s="545"/>
      <c r="S258" s="545"/>
      <c r="T258" s="545"/>
      <c r="U258" s="545"/>
      <c r="V258" s="545"/>
      <c r="W258" s="545"/>
    </row>
    <row r="259" ht="16.5" customHeight="1">
      <c r="A259" s="545"/>
      <c r="B259" s="545"/>
      <c r="C259" s="545"/>
      <c r="D259" s="545"/>
      <c r="E259" s="545"/>
      <c r="F259" s="545"/>
      <c r="G259" s="545"/>
      <c r="H259" s="545"/>
      <c r="I259" s="545"/>
      <c r="J259" s="545"/>
      <c r="K259" s="545"/>
      <c r="L259" s="545"/>
      <c r="M259" s="545"/>
      <c r="N259" s="545"/>
      <c r="O259" s="545"/>
      <c r="P259" s="545"/>
      <c r="Q259" s="545"/>
      <c r="R259" s="545"/>
      <c r="S259" s="545"/>
      <c r="T259" s="545"/>
      <c r="U259" s="545"/>
      <c r="V259" s="545"/>
      <c r="W259" s="545"/>
    </row>
    <row r="260" ht="16.5" customHeight="1">
      <c r="A260" s="545"/>
      <c r="B260" s="545"/>
      <c r="C260" s="545"/>
      <c r="D260" s="545"/>
      <c r="E260" s="545"/>
      <c r="F260" s="545"/>
      <c r="G260" s="545"/>
      <c r="H260" s="545"/>
      <c r="I260" s="545"/>
      <c r="J260" s="545"/>
      <c r="K260" s="545"/>
      <c r="L260" s="545"/>
      <c r="M260" s="545"/>
      <c r="N260" s="545"/>
      <c r="O260" s="545"/>
      <c r="P260" s="545"/>
      <c r="Q260" s="545"/>
      <c r="R260" s="545"/>
      <c r="S260" s="545"/>
      <c r="T260" s="545"/>
      <c r="U260" s="545"/>
      <c r="V260" s="545"/>
      <c r="W260" s="545"/>
    </row>
    <row r="261" ht="16.5" customHeight="1">
      <c r="A261" s="545"/>
      <c r="B261" s="545"/>
      <c r="C261" s="545"/>
      <c r="D261" s="545"/>
      <c r="E261" s="545"/>
      <c r="F261" s="545"/>
      <c r="G261" s="545"/>
      <c r="H261" s="545"/>
      <c r="I261" s="545"/>
      <c r="J261" s="545"/>
      <c r="K261" s="545"/>
      <c r="L261" s="545"/>
      <c r="M261" s="545"/>
      <c r="N261" s="545"/>
      <c r="O261" s="545"/>
      <c r="P261" s="545"/>
      <c r="Q261" s="545"/>
      <c r="R261" s="545"/>
      <c r="S261" s="545"/>
      <c r="T261" s="545"/>
      <c r="U261" s="545"/>
      <c r="V261" s="545"/>
      <c r="W261" s="545"/>
    </row>
    <row r="262" ht="16.5" customHeight="1">
      <c r="A262" s="545"/>
      <c r="B262" s="545"/>
      <c r="C262" s="545"/>
      <c r="D262" s="545"/>
      <c r="E262" s="545"/>
      <c r="F262" s="545"/>
      <c r="G262" s="545"/>
      <c r="H262" s="545"/>
      <c r="I262" s="545"/>
      <c r="J262" s="545"/>
      <c r="K262" s="545"/>
      <c r="L262" s="545"/>
      <c r="M262" s="545"/>
      <c r="N262" s="545"/>
      <c r="O262" s="545"/>
      <c r="P262" s="545"/>
      <c r="Q262" s="545"/>
      <c r="R262" s="545"/>
      <c r="S262" s="545"/>
      <c r="T262" s="545"/>
      <c r="U262" s="545"/>
      <c r="V262" s="545"/>
      <c r="W262" s="545"/>
    </row>
    <row r="263" ht="16.5" customHeight="1">
      <c r="A263" s="545"/>
      <c r="B263" s="545"/>
      <c r="C263" s="545"/>
      <c r="D263" s="545"/>
      <c r="E263" s="545"/>
      <c r="F263" s="545"/>
      <c r="G263" s="545"/>
      <c r="H263" s="545"/>
      <c r="I263" s="545"/>
      <c r="J263" s="545"/>
      <c r="K263" s="545"/>
      <c r="L263" s="545"/>
      <c r="M263" s="545"/>
      <c r="N263" s="545"/>
      <c r="O263" s="545"/>
      <c r="P263" s="545"/>
      <c r="Q263" s="545"/>
      <c r="R263" s="545"/>
      <c r="S263" s="545"/>
      <c r="T263" s="545"/>
      <c r="U263" s="545"/>
      <c r="V263" s="545"/>
      <c r="W263" s="545"/>
    </row>
    <row r="264" ht="16.5" customHeight="1">
      <c r="A264" s="545"/>
      <c r="B264" s="545"/>
      <c r="C264" s="545"/>
      <c r="D264" s="545"/>
      <c r="E264" s="545"/>
      <c r="F264" s="545"/>
      <c r="G264" s="545"/>
      <c r="H264" s="545"/>
      <c r="I264" s="545"/>
      <c r="J264" s="545"/>
      <c r="K264" s="545"/>
      <c r="L264" s="545"/>
      <c r="M264" s="545"/>
      <c r="N264" s="545"/>
      <c r="O264" s="545"/>
      <c r="P264" s="545"/>
      <c r="Q264" s="545"/>
      <c r="R264" s="545"/>
      <c r="S264" s="545"/>
      <c r="T264" s="545"/>
      <c r="U264" s="545"/>
      <c r="V264" s="545"/>
      <c r="W264" s="545"/>
    </row>
    <row r="265" ht="16.5" customHeight="1">
      <c r="A265" s="545"/>
      <c r="B265" s="545"/>
      <c r="C265" s="545"/>
      <c r="D265" s="545"/>
      <c r="E265" s="545"/>
      <c r="F265" s="545"/>
      <c r="G265" s="545"/>
      <c r="H265" s="545"/>
      <c r="I265" s="545"/>
      <c r="J265" s="545"/>
      <c r="K265" s="545"/>
      <c r="L265" s="545"/>
      <c r="M265" s="545"/>
      <c r="N265" s="545"/>
      <c r="O265" s="545"/>
      <c r="P265" s="545"/>
      <c r="Q265" s="545"/>
      <c r="R265" s="545"/>
      <c r="S265" s="545"/>
      <c r="T265" s="545"/>
      <c r="U265" s="545"/>
      <c r="V265" s="545"/>
      <c r="W265" s="545"/>
    </row>
    <row r="266" ht="16.5" customHeight="1">
      <c r="A266" s="545"/>
      <c r="B266" s="545"/>
      <c r="C266" s="545"/>
      <c r="D266" s="545"/>
      <c r="E266" s="545"/>
      <c r="F266" s="545"/>
      <c r="G266" s="545"/>
      <c r="H266" s="545"/>
      <c r="I266" s="545"/>
      <c r="J266" s="545"/>
      <c r="K266" s="545"/>
      <c r="L266" s="545"/>
      <c r="M266" s="545"/>
      <c r="N266" s="545"/>
      <c r="O266" s="545"/>
      <c r="P266" s="545"/>
      <c r="Q266" s="545"/>
      <c r="R266" s="545"/>
      <c r="S266" s="545"/>
      <c r="T266" s="545"/>
      <c r="U266" s="545"/>
      <c r="V266" s="545"/>
      <c r="W266" s="545"/>
    </row>
    <row r="267" ht="16.5" customHeight="1">
      <c r="A267" s="545"/>
      <c r="B267" s="545"/>
      <c r="C267" s="545"/>
      <c r="D267" s="545"/>
      <c r="E267" s="545"/>
      <c r="F267" s="545"/>
      <c r="G267" s="545"/>
      <c r="H267" s="545"/>
      <c r="I267" s="545"/>
      <c r="J267" s="545"/>
      <c r="K267" s="545"/>
      <c r="L267" s="545"/>
      <c r="M267" s="545"/>
      <c r="N267" s="545"/>
      <c r="O267" s="545"/>
      <c r="P267" s="545"/>
      <c r="Q267" s="545"/>
      <c r="R267" s="545"/>
      <c r="S267" s="545"/>
      <c r="T267" s="545"/>
      <c r="U267" s="545"/>
      <c r="V267" s="545"/>
      <c r="W267" s="545"/>
    </row>
    <row r="268" ht="16.5" customHeight="1">
      <c r="A268" s="545"/>
      <c r="B268" s="545"/>
      <c r="C268" s="545"/>
      <c r="D268" s="545"/>
      <c r="E268" s="545"/>
      <c r="F268" s="545"/>
      <c r="G268" s="545"/>
      <c r="H268" s="545"/>
      <c r="I268" s="545"/>
      <c r="J268" s="545"/>
      <c r="K268" s="545"/>
      <c r="L268" s="545"/>
      <c r="M268" s="545"/>
      <c r="N268" s="545"/>
      <c r="O268" s="545"/>
      <c r="P268" s="545"/>
      <c r="Q268" s="545"/>
      <c r="R268" s="545"/>
      <c r="S268" s="545"/>
      <c r="T268" s="545"/>
      <c r="U268" s="545"/>
      <c r="V268" s="545"/>
      <c r="W268" s="545"/>
    </row>
    <row r="269" ht="16.5" customHeight="1">
      <c r="A269" s="545"/>
      <c r="B269" s="545"/>
      <c r="C269" s="545"/>
      <c r="D269" s="545"/>
      <c r="E269" s="545"/>
      <c r="F269" s="545"/>
      <c r="G269" s="545"/>
      <c r="H269" s="545"/>
      <c r="I269" s="545"/>
      <c r="J269" s="545"/>
      <c r="K269" s="545"/>
      <c r="L269" s="545"/>
      <c r="M269" s="545"/>
      <c r="N269" s="545"/>
      <c r="O269" s="545"/>
      <c r="P269" s="545"/>
      <c r="Q269" s="545"/>
      <c r="R269" s="545"/>
      <c r="S269" s="545"/>
      <c r="T269" s="545"/>
      <c r="U269" s="545"/>
      <c r="V269" s="545"/>
      <c r="W269" s="545"/>
    </row>
    <row r="270" ht="16.5" customHeight="1">
      <c r="A270" s="545"/>
      <c r="B270" s="545"/>
      <c r="C270" s="545"/>
      <c r="D270" s="545"/>
      <c r="E270" s="545"/>
      <c r="F270" s="545"/>
      <c r="G270" s="545"/>
      <c r="H270" s="545"/>
      <c r="I270" s="545"/>
      <c r="J270" s="545"/>
      <c r="K270" s="545"/>
      <c r="L270" s="545"/>
      <c r="M270" s="545"/>
      <c r="N270" s="545"/>
      <c r="O270" s="545"/>
      <c r="P270" s="545"/>
      <c r="Q270" s="545"/>
      <c r="R270" s="545"/>
      <c r="S270" s="545"/>
      <c r="T270" s="545"/>
      <c r="U270" s="545"/>
      <c r="V270" s="545"/>
      <c r="W270" s="545"/>
    </row>
    <row r="271" ht="16.5" customHeight="1">
      <c r="A271" s="545"/>
      <c r="B271" s="545"/>
      <c r="C271" s="545"/>
      <c r="D271" s="545"/>
      <c r="E271" s="545"/>
      <c r="F271" s="545"/>
      <c r="G271" s="545"/>
      <c r="H271" s="545"/>
      <c r="I271" s="545"/>
      <c r="J271" s="545"/>
      <c r="K271" s="545"/>
      <c r="L271" s="545"/>
      <c r="M271" s="545"/>
      <c r="N271" s="545"/>
      <c r="O271" s="545"/>
      <c r="P271" s="545"/>
      <c r="Q271" s="545"/>
      <c r="R271" s="545"/>
      <c r="S271" s="545"/>
      <c r="T271" s="545"/>
      <c r="U271" s="545"/>
      <c r="V271" s="545"/>
      <c r="W271" s="545"/>
    </row>
    <row r="272" ht="16.5" customHeight="1">
      <c r="A272" s="545"/>
      <c r="B272" s="545"/>
      <c r="C272" s="545"/>
      <c r="D272" s="545"/>
      <c r="E272" s="545"/>
      <c r="F272" s="545"/>
      <c r="G272" s="545"/>
      <c r="H272" s="545"/>
      <c r="I272" s="545"/>
      <c r="J272" s="545"/>
      <c r="K272" s="545"/>
      <c r="L272" s="545"/>
      <c r="M272" s="545"/>
      <c r="N272" s="545"/>
      <c r="O272" s="545"/>
      <c r="P272" s="545"/>
      <c r="Q272" s="545"/>
      <c r="R272" s="545"/>
      <c r="S272" s="545"/>
      <c r="T272" s="545"/>
      <c r="U272" s="545"/>
      <c r="V272" s="545"/>
      <c r="W272" s="545"/>
    </row>
    <row r="273" ht="16.5" customHeight="1">
      <c r="A273" s="545"/>
      <c r="B273" s="545"/>
      <c r="C273" s="545"/>
      <c r="D273" s="545"/>
      <c r="E273" s="545"/>
      <c r="F273" s="545"/>
      <c r="G273" s="545"/>
      <c r="H273" s="545"/>
      <c r="I273" s="545"/>
      <c r="J273" s="545"/>
      <c r="K273" s="545"/>
      <c r="L273" s="545"/>
      <c r="M273" s="545"/>
      <c r="N273" s="545"/>
      <c r="O273" s="545"/>
      <c r="P273" s="545"/>
      <c r="Q273" s="545"/>
      <c r="R273" s="545"/>
      <c r="S273" s="545"/>
      <c r="T273" s="545"/>
      <c r="U273" s="545"/>
      <c r="V273" s="545"/>
      <c r="W273" s="545"/>
    </row>
    <row r="274" ht="16.5" customHeight="1">
      <c r="A274" s="545"/>
      <c r="B274" s="545"/>
      <c r="C274" s="545"/>
      <c r="D274" s="545"/>
      <c r="E274" s="545"/>
      <c r="F274" s="545"/>
      <c r="G274" s="545"/>
      <c r="H274" s="545"/>
      <c r="I274" s="545"/>
      <c r="J274" s="545"/>
      <c r="K274" s="545"/>
      <c r="L274" s="545"/>
      <c r="M274" s="545"/>
      <c r="N274" s="545"/>
      <c r="O274" s="545"/>
      <c r="P274" s="545"/>
      <c r="Q274" s="545"/>
      <c r="R274" s="545"/>
      <c r="S274" s="545"/>
      <c r="T274" s="545"/>
      <c r="U274" s="545"/>
      <c r="V274" s="545"/>
      <c r="W274" s="545"/>
    </row>
    <row r="275" ht="16.5" customHeight="1">
      <c r="A275" s="545"/>
      <c r="B275" s="545"/>
      <c r="C275" s="545"/>
      <c r="D275" s="545"/>
      <c r="E275" s="545"/>
      <c r="F275" s="545"/>
      <c r="G275" s="545"/>
      <c r="H275" s="545"/>
      <c r="I275" s="545"/>
      <c r="J275" s="545"/>
      <c r="K275" s="545"/>
      <c r="L275" s="545"/>
      <c r="M275" s="545"/>
      <c r="N275" s="545"/>
      <c r="O275" s="545"/>
      <c r="P275" s="545"/>
      <c r="Q275" s="545"/>
      <c r="R275" s="545"/>
      <c r="S275" s="545"/>
      <c r="T275" s="545"/>
      <c r="U275" s="545"/>
      <c r="V275" s="545"/>
      <c r="W275" s="545"/>
    </row>
    <row r="276" ht="16.5" customHeight="1">
      <c r="A276" s="545"/>
      <c r="B276" s="545"/>
      <c r="C276" s="545"/>
      <c r="D276" s="545"/>
      <c r="E276" s="545"/>
      <c r="F276" s="545"/>
      <c r="G276" s="545"/>
      <c r="H276" s="545"/>
      <c r="I276" s="545"/>
      <c r="J276" s="545"/>
      <c r="K276" s="545"/>
      <c r="L276" s="545"/>
      <c r="M276" s="545"/>
      <c r="N276" s="545"/>
      <c r="O276" s="545"/>
      <c r="P276" s="545"/>
      <c r="Q276" s="545"/>
      <c r="R276" s="545"/>
      <c r="S276" s="545"/>
      <c r="T276" s="545"/>
      <c r="U276" s="545"/>
      <c r="V276" s="545"/>
      <c r="W276" s="545"/>
    </row>
    <row r="277" ht="16.5" customHeight="1">
      <c r="A277" s="545"/>
      <c r="B277" s="545"/>
      <c r="C277" s="545"/>
      <c r="D277" s="545"/>
      <c r="E277" s="545"/>
      <c r="F277" s="545"/>
      <c r="G277" s="545"/>
      <c r="H277" s="545"/>
      <c r="I277" s="545"/>
      <c r="J277" s="545"/>
      <c r="K277" s="545"/>
      <c r="L277" s="545"/>
      <c r="M277" s="545"/>
      <c r="N277" s="545"/>
      <c r="O277" s="545"/>
      <c r="P277" s="545"/>
      <c r="Q277" s="545"/>
      <c r="R277" s="545"/>
      <c r="S277" s="545"/>
      <c r="T277" s="545"/>
      <c r="U277" s="545"/>
      <c r="V277" s="545"/>
      <c r="W277" s="545"/>
    </row>
    <row r="278" ht="16.5" customHeight="1">
      <c r="A278" s="545"/>
      <c r="B278" s="545"/>
      <c r="C278" s="545"/>
      <c r="D278" s="545"/>
      <c r="E278" s="545"/>
      <c r="F278" s="545"/>
      <c r="G278" s="545"/>
      <c r="H278" s="545"/>
      <c r="I278" s="545"/>
      <c r="J278" s="545"/>
      <c r="K278" s="545"/>
      <c r="L278" s="545"/>
      <c r="M278" s="545"/>
      <c r="N278" s="545"/>
      <c r="O278" s="545"/>
      <c r="P278" s="545"/>
      <c r="Q278" s="545"/>
      <c r="R278" s="545"/>
      <c r="S278" s="545"/>
      <c r="T278" s="545"/>
      <c r="U278" s="545"/>
      <c r="V278" s="545"/>
      <c r="W278" s="545"/>
    </row>
    <row r="279" ht="16.5" customHeight="1">
      <c r="A279" s="545"/>
      <c r="B279" s="545"/>
      <c r="C279" s="545"/>
      <c r="D279" s="545"/>
      <c r="E279" s="545"/>
      <c r="F279" s="545"/>
      <c r="G279" s="545"/>
      <c r="H279" s="545"/>
      <c r="I279" s="545"/>
      <c r="J279" s="545"/>
      <c r="K279" s="545"/>
      <c r="L279" s="545"/>
      <c r="M279" s="545"/>
      <c r="N279" s="545"/>
      <c r="O279" s="545"/>
      <c r="P279" s="545"/>
      <c r="Q279" s="545"/>
      <c r="R279" s="545"/>
      <c r="S279" s="545"/>
      <c r="T279" s="545"/>
      <c r="U279" s="545"/>
      <c r="V279" s="545"/>
      <c r="W279" s="545"/>
    </row>
    <row r="280" ht="16.5" customHeight="1">
      <c r="A280" s="545"/>
      <c r="B280" s="545"/>
      <c r="C280" s="545"/>
      <c r="D280" s="545"/>
      <c r="E280" s="545"/>
      <c r="F280" s="545"/>
      <c r="G280" s="545"/>
      <c r="H280" s="545"/>
      <c r="I280" s="545"/>
      <c r="J280" s="545"/>
      <c r="K280" s="545"/>
      <c r="L280" s="545"/>
      <c r="M280" s="545"/>
      <c r="N280" s="545"/>
      <c r="O280" s="545"/>
      <c r="P280" s="545"/>
      <c r="Q280" s="545"/>
      <c r="R280" s="545"/>
      <c r="S280" s="545"/>
      <c r="T280" s="545"/>
      <c r="U280" s="545"/>
      <c r="V280" s="545"/>
      <c r="W280" s="545"/>
    </row>
    <row r="281" ht="16.5" customHeight="1">
      <c r="A281" s="545"/>
      <c r="B281" s="545"/>
      <c r="C281" s="545"/>
      <c r="D281" s="545"/>
      <c r="E281" s="545"/>
      <c r="F281" s="545"/>
      <c r="G281" s="545"/>
      <c r="H281" s="545"/>
      <c r="I281" s="545"/>
      <c r="J281" s="545"/>
      <c r="K281" s="545"/>
      <c r="L281" s="545"/>
      <c r="M281" s="545"/>
      <c r="N281" s="545"/>
      <c r="O281" s="545"/>
      <c r="P281" s="545"/>
      <c r="Q281" s="545"/>
      <c r="R281" s="545"/>
      <c r="S281" s="545"/>
      <c r="T281" s="545"/>
      <c r="U281" s="545"/>
      <c r="V281" s="545"/>
      <c r="W281" s="545"/>
    </row>
    <row r="282" ht="16.5" customHeight="1">
      <c r="A282" s="545"/>
      <c r="B282" s="545"/>
      <c r="C282" s="545"/>
      <c r="D282" s="545"/>
      <c r="E282" s="545"/>
      <c r="F282" s="545"/>
      <c r="G282" s="545"/>
      <c r="H282" s="545"/>
      <c r="I282" s="545"/>
      <c r="J282" s="545"/>
      <c r="K282" s="545"/>
      <c r="L282" s="545"/>
      <c r="M282" s="545"/>
      <c r="N282" s="545"/>
      <c r="O282" s="545"/>
      <c r="P282" s="545"/>
      <c r="Q282" s="545"/>
      <c r="R282" s="545"/>
      <c r="S282" s="545"/>
      <c r="T282" s="545"/>
      <c r="U282" s="545"/>
      <c r="V282" s="545"/>
      <c r="W282" s="545"/>
    </row>
    <row r="283" ht="16.5" customHeight="1">
      <c r="A283" s="545"/>
      <c r="B283" s="545"/>
      <c r="C283" s="545"/>
      <c r="D283" s="545"/>
      <c r="E283" s="545"/>
      <c r="F283" s="545"/>
      <c r="G283" s="545"/>
      <c r="H283" s="545"/>
      <c r="I283" s="545"/>
      <c r="J283" s="545"/>
      <c r="K283" s="545"/>
      <c r="L283" s="545"/>
      <c r="M283" s="545"/>
      <c r="N283" s="545"/>
      <c r="O283" s="545"/>
      <c r="P283" s="545"/>
      <c r="Q283" s="545"/>
      <c r="R283" s="545"/>
      <c r="S283" s="545"/>
      <c r="T283" s="545"/>
      <c r="U283" s="545"/>
      <c r="V283" s="545"/>
      <c r="W283" s="545"/>
    </row>
    <row r="284" ht="16.5" customHeight="1">
      <c r="A284" s="545"/>
      <c r="B284" s="545"/>
      <c r="C284" s="545"/>
      <c r="D284" s="545"/>
      <c r="E284" s="545"/>
      <c r="F284" s="545"/>
      <c r="G284" s="545"/>
      <c r="H284" s="545"/>
      <c r="I284" s="545"/>
      <c r="J284" s="545"/>
      <c r="K284" s="545"/>
      <c r="L284" s="545"/>
      <c r="M284" s="545"/>
      <c r="N284" s="545"/>
      <c r="O284" s="545"/>
      <c r="P284" s="545"/>
      <c r="Q284" s="545"/>
      <c r="R284" s="545"/>
      <c r="S284" s="545"/>
      <c r="T284" s="545"/>
      <c r="U284" s="545"/>
      <c r="V284" s="545"/>
      <c r="W284" s="545"/>
    </row>
    <row r="285" ht="16.5" customHeight="1">
      <c r="A285" s="545"/>
      <c r="B285" s="545"/>
      <c r="C285" s="545"/>
      <c r="D285" s="545"/>
      <c r="E285" s="545"/>
      <c r="F285" s="545"/>
      <c r="G285" s="545"/>
      <c r="H285" s="545"/>
      <c r="I285" s="545"/>
      <c r="J285" s="545"/>
      <c r="K285" s="545"/>
      <c r="L285" s="545"/>
      <c r="M285" s="545"/>
      <c r="N285" s="545"/>
      <c r="O285" s="545"/>
      <c r="P285" s="545"/>
      <c r="Q285" s="545"/>
      <c r="R285" s="545"/>
      <c r="S285" s="545"/>
      <c r="T285" s="545"/>
      <c r="U285" s="545"/>
      <c r="V285" s="545"/>
      <c r="W285" s="545"/>
    </row>
    <row r="286" ht="16.5" customHeight="1">
      <c r="A286" s="545"/>
      <c r="B286" s="545"/>
      <c r="C286" s="545"/>
      <c r="D286" s="545"/>
      <c r="E286" s="545"/>
      <c r="F286" s="545"/>
      <c r="G286" s="545"/>
      <c r="H286" s="545"/>
      <c r="I286" s="545"/>
      <c r="J286" s="545"/>
      <c r="K286" s="545"/>
      <c r="L286" s="545"/>
      <c r="M286" s="545"/>
      <c r="N286" s="545"/>
      <c r="O286" s="545"/>
      <c r="P286" s="545"/>
      <c r="Q286" s="545"/>
      <c r="R286" s="545"/>
      <c r="S286" s="545"/>
      <c r="T286" s="545"/>
      <c r="U286" s="545"/>
      <c r="V286" s="545"/>
      <c r="W286" s="545"/>
    </row>
    <row r="287" ht="16.5" customHeight="1">
      <c r="A287" s="545"/>
      <c r="B287" s="545"/>
      <c r="C287" s="545"/>
      <c r="D287" s="545"/>
      <c r="E287" s="545"/>
      <c r="F287" s="545"/>
      <c r="G287" s="545"/>
      <c r="H287" s="545"/>
      <c r="I287" s="545"/>
      <c r="J287" s="545"/>
      <c r="K287" s="545"/>
      <c r="L287" s="545"/>
      <c r="M287" s="545"/>
      <c r="N287" s="545"/>
      <c r="O287" s="545"/>
      <c r="P287" s="545"/>
      <c r="Q287" s="545"/>
      <c r="R287" s="545"/>
      <c r="S287" s="545"/>
      <c r="T287" s="545"/>
      <c r="U287" s="545"/>
      <c r="V287" s="545"/>
      <c r="W287" s="545"/>
    </row>
    <row r="288" ht="16.5" customHeight="1">
      <c r="A288" s="545"/>
      <c r="B288" s="545"/>
      <c r="C288" s="545"/>
      <c r="D288" s="545"/>
      <c r="E288" s="545"/>
      <c r="F288" s="545"/>
      <c r="G288" s="545"/>
      <c r="H288" s="545"/>
      <c r="I288" s="545"/>
      <c r="J288" s="545"/>
      <c r="K288" s="545"/>
      <c r="L288" s="545"/>
      <c r="M288" s="545"/>
      <c r="N288" s="545"/>
      <c r="O288" s="545"/>
      <c r="P288" s="545"/>
      <c r="Q288" s="545"/>
      <c r="R288" s="545"/>
      <c r="S288" s="545"/>
      <c r="T288" s="545"/>
      <c r="U288" s="545"/>
      <c r="V288" s="545"/>
      <c r="W288" s="545"/>
    </row>
    <row r="289" ht="16.5" customHeight="1">
      <c r="A289" s="545"/>
      <c r="B289" s="545"/>
      <c r="C289" s="545"/>
      <c r="D289" s="545"/>
      <c r="E289" s="545"/>
      <c r="F289" s="545"/>
      <c r="G289" s="545"/>
      <c r="H289" s="545"/>
      <c r="I289" s="545"/>
      <c r="J289" s="545"/>
      <c r="K289" s="545"/>
      <c r="L289" s="545"/>
      <c r="M289" s="545"/>
      <c r="N289" s="545"/>
      <c r="O289" s="545"/>
      <c r="P289" s="545"/>
      <c r="Q289" s="545"/>
      <c r="R289" s="545"/>
      <c r="S289" s="545"/>
      <c r="T289" s="545"/>
      <c r="U289" s="545"/>
      <c r="V289" s="545"/>
      <c r="W289" s="545"/>
    </row>
    <row r="290" ht="16.5" customHeight="1">
      <c r="A290" s="545"/>
      <c r="B290" s="545"/>
      <c r="C290" s="545"/>
      <c r="D290" s="545"/>
      <c r="E290" s="545"/>
      <c r="F290" s="545"/>
      <c r="G290" s="545"/>
      <c r="H290" s="545"/>
      <c r="I290" s="545"/>
      <c r="J290" s="545"/>
      <c r="K290" s="545"/>
      <c r="L290" s="545"/>
      <c r="M290" s="545"/>
      <c r="N290" s="545"/>
      <c r="O290" s="545"/>
      <c r="P290" s="545"/>
      <c r="Q290" s="545"/>
      <c r="R290" s="545"/>
      <c r="S290" s="545"/>
      <c r="T290" s="545"/>
      <c r="U290" s="545"/>
      <c r="V290" s="545"/>
      <c r="W290" s="545"/>
    </row>
    <row r="291" ht="16.5" customHeight="1">
      <c r="A291" s="545"/>
      <c r="B291" s="545"/>
      <c r="C291" s="545"/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5"/>
    </row>
    <row r="292" ht="16.5" customHeight="1">
      <c r="A292" s="545"/>
      <c r="B292" s="545"/>
      <c r="C292" s="545"/>
      <c r="D292" s="545"/>
      <c r="E292" s="545"/>
      <c r="F292" s="545"/>
      <c r="G292" s="545"/>
      <c r="H292" s="545"/>
      <c r="I292" s="545"/>
      <c r="J292" s="545"/>
      <c r="K292" s="545"/>
      <c r="L292" s="545"/>
      <c r="M292" s="545"/>
      <c r="N292" s="545"/>
      <c r="O292" s="545"/>
      <c r="P292" s="545"/>
      <c r="Q292" s="545"/>
      <c r="R292" s="545"/>
      <c r="S292" s="545"/>
      <c r="T292" s="545"/>
      <c r="U292" s="545"/>
      <c r="V292" s="545"/>
      <c r="W292" s="545"/>
    </row>
    <row r="293" ht="16.5" customHeight="1">
      <c r="A293" s="545"/>
      <c r="B293" s="545"/>
      <c r="C293" s="545"/>
      <c r="D293" s="545"/>
      <c r="E293" s="545"/>
      <c r="F293" s="545"/>
      <c r="G293" s="545"/>
      <c r="H293" s="545"/>
      <c r="I293" s="545"/>
      <c r="J293" s="545"/>
      <c r="K293" s="545"/>
      <c r="L293" s="545"/>
      <c r="M293" s="545"/>
      <c r="N293" s="545"/>
      <c r="O293" s="545"/>
      <c r="P293" s="545"/>
      <c r="Q293" s="545"/>
      <c r="R293" s="545"/>
      <c r="S293" s="545"/>
      <c r="T293" s="545"/>
      <c r="U293" s="545"/>
      <c r="V293" s="545"/>
      <c r="W293" s="545"/>
    </row>
    <row r="294" ht="16.5" customHeight="1">
      <c r="A294" s="545"/>
      <c r="B294" s="545"/>
      <c r="C294" s="545"/>
      <c r="D294" s="545"/>
      <c r="E294" s="545"/>
      <c r="F294" s="545"/>
      <c r="G294" s="545"/>
      <c r="H294" s="545"/>
      <c r="I294" s="545"/>
      <c r="J294" s="545"/>
      <c r="K294" s="545"/>
      <c r="L294" s="545"/>
      <c r="M294" s="545"/>
      <c r="N294" s="545"/>
      <c r="O294" s="545"/>
      <c r="P294" s="545"/>
      <c r="Q294" s="545"/>
      <c r="R294" s="545"/>
      <c r="S294" s="545"/>
      <c r="T294" s="545"/>
      <c r="U294" s="545"/>
      <c r="V294" s="545"/>
      <c r="W294" s="545"/>
    </row>
    <row r="295" ht="16.5" customHeight="1">
      <c r="A295" s="545"/>
      <c r="B295" s="545"/>
      <c r="C295" s="545"/>
      <c r="D295" s="545"/>
      <c r="E295" s="545"/>
      <c r="F295" s="545"/>
      <c r="G295" s="545"/>
      <c r="H295" s="545"/>
      <c r="I295" s="545"/>
      <c r="J295" s="545"/>
      <c r="K295" s="545"/>
      <c r="L295" s="545"/>
      <c r="M295" s="545"/>
      <c r="N295" s="545"/>
      <c r="O295" s="545"/>
      <c r="P295" s="545"/>
      <c r="Q295" s="545"/>
      <c r="R295" s="545"/>
      <c r="S295" s="545"/>
      <c r="T295" s="545"/>
      <c r="U295" s="545"/>
      <c r="V295" s="545"/>
      <c r="W295" s="545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7">
    <mergeCell ref="A1:C1"/>
    <mergeCell ref="B2:C2"/>
    <mergeCell ref="B3:C3"/>
    <mergeCell ref="A4:C4"/>
    <mergeCell ref="A5:C5"/>
    <mergeCell ref="B6:C6"/>
    <mergeCell ref="B7:C7"/>
    <mergeCell ref="B8:C8"/>
    <mergeCell ref="B9:C9"/>
    <mergeCell ref="A10:C13"/>
    <mergeCell ref="A14:C14"/>
    <mergeCell ref="B15:C15"/>
    <mergeCell ref="B16:C16"/>
    <mergeCell ref="B17:C17"/>
    <mergeCell ref="B18:C18"/>
    <mergeCell ref="B19:C19"/>
    <mergeCell ref="B20:C20"/>
    <mergeCell ref="A21:C21"/>
    <mergeCell ref="A22:C22"/>
    <mergeCell ref="A40:C40"/>
    <mergeCell ref="A41:C41"/>
    <mergeCell ref="A54:C54"/>
    <mergeCell ref="A55:C55"/>
    <mergeCell ref="A61:C61"/>
    <mergeCell ref="A62:C62"/>
    <mergeCell ref="A73:C73"/>
    <mergeCell ref="A75:C75"/>
    <mergeCell ref="A76:C76"/>
    <mergeCell ref="B77:C77"/>
    <mergeCell ref="B78:C78"/>
    <mergeCell ref="B79:C79"/>
    <mergeCell ref="B80:C80"/>
    <mergeCell ref="B81:C81"/>
    <mergeCell ref="B82:C82"/>
    <mergeCell ref="B83:C83"/>
    <mergeCell ref="B91:C91"/>
    <mergeCell ref="B92:C92"/>
    <mergeCell ref="B93:C93"/>
    <mergeCell ref="A94:C94"/>
    <mergeCell ref="B95:C95"/>
    <mergeCell ref="A84:C84"/>
    <mergeCell ref="B85:C85"/>
    <mergeCell ref="A86:C86"/>
    <mergeCell ref="A87:C87"/>
    <mergeCell ref="A88:C88"/>
    <mergeCell ref="B89:C89"/>
    <mergeCell ref="B90:C90"/>
  </mergeCells>
  <hyperlinks>
    <hyperlink r:id="rId2" ref="E6"/>
  </hyperlinks>
  <printOptions/>
  <pageMargins bottom="0.984375" footer="0.0" header="0.0" left="0.748125" right="0.748125" top="0.984375"/>
  <pageSetup paperSize="9" orientation="portrait"/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47.0"/>
    <col customWidth="1" min="4" max="4" width="22.71"/>
    <col customWidth="1" min="5" max="5" width="17.0"/>
    <col customWidth="1" min="6" max="6" width="33.14"/>
    <col customWidth="1" min="9" max="9" width="33.43"/>
  </cols>
  <sheetData>
    <row r="1">
      <c r="B1" s="11" t="s">
        <v>243</v>
      </c>
      <c r="C1" s="11" t="s">
        <v>244</v>
      </c>
      <c r="D1" s="11" t="s">
        <v>245</v>
      </c>
      <c r="E1" s="11" t="s">
        <v>246</v>
      </c>
      <c r="F1" s="344" t="s">
        <v>247</v>
      </c>
      <c r="I1" s="22" t="s">
        <v>390</v>
      </c>
    </row>
    <row r="2">
      <c r="B2" s="415" t="s">
        <v>391</v>
      </c>
      <c r="C2" s="22" t="s">
        <v>392</v>
      </c>
      <c r="D2" s="22" t="s">
        <v>393</v>
      </c>
      <c r="I2" s="415" t="s">
        <v>391</v>
      </c>
    </row>
    <row r="3">
      <c r="C3" s="22" t="s">
        <v>394</v>
      </c>
      <c r="D3" s="22" t="s">
        <v>395</v>
      </c>
      <c r="I3" s="415"/>
    </row>
    <row r="4">
      <c r="C4" s="22" t="s">
        <v>396</v>
      </c>
      <c r="D4" s="22" t="s">
        <v>397</v>
      </c>
      <c r="I4" s="415" t="s">
        <v>398</v>
      </c>
    </row>
    <row r="5">
      <c r="I5" s="22" t="s">
        <v>399</v>
      </c>
    </row>
    <row r="6">
      <c r="C6" s="22" t="s">
        <v>400</v>
      </c>
      <c r="I6" s="415" t="s">
        <v>401</v>
      </c>
    </row>
    <row r="7">
      <c r="I7" s="415" t="s">
        <v>402</v>
      </c>
    </row>
    <row r="8">
      <c r="I8" s="415" t="s">
        <v>403</v>
      </c>
    </row>
    <row r="9">
      <c r="I9" s="415" t="s">
        <v>404</v>
      </c>
    </row>
    <row r="10">
      <c r="I10" s="415" t="s">
        <v>405</v>
      </c>
    </row>
    <row r="11">
      <c r="I11" s="415" t="s">
        <v>406</v>
      </c>
    </row>
    <row r="12">
      <c r="I12" s="415" t="s">
        <v>407</v>
      </c>
    </row>
    <row r="13">
      <c r="I13" s="415" t="s">
        <v>408</v>
      </c>
    </row>
    <row r="14">
      <c r="I14" s="415" t="s">
        <v>409</v>
      </c>
    </row>
    <row r="15">
      <c r="I15" s="415" t="s">
        <v>410</v>
      </c>
    </row>
    <row r="16">
      <c r="I16" s="415" t="s">
        <v>411</v>
      </c>
    </row>
    <row r="17">
      <c r="C17" s="22"/>
      <c r="I17" s="415" t="s">
        <v>412</v>
      </c>
    </row>
    <row r="18">
      <c r="I18" s="415" t="s">
        <v>413</v>
      </c>
    </row>
    <row r="19">
      <c r="I19" s="415" t="s">
        <v>414</v>
      </c>
    </row>
    <row r="20">
      <c r="I20" s="415" t="s">
        <v>415</v>
      </c>
    </row>
    <row r="21">
      <c r="I21" s="415" t="s">
        <v>416</v>
      </c>
    </row>
    <row r="22">
      <c r="I22" s="415" t="s">
        <v>417</v>
      </c>
    </row>
    <row r="23">
      <c r="I23" s="415" t="s">
        <v>418</v>
      </c>
    </row>
    <row r="24">
      <c r="I24" s="415" t="s">
        <v>419</v>
      </c>
    </row>
    <row r="25">
      <c r="I25" s="415" t="s">
        <v>420</v>
      </c>
    </row>
    <row r="26">
      <c r="I26" s="415" t="s">
        <v>311</v>
      </c>
    </row>
    <row r="37">
      <c r="I37" s="415"/>
    </row>
    <row r="38">
      <c r="I38" s="4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5" max="5" width="8.14"/>
    <col customWidth="1" min="6" max="6" width="11.43"/>
    <col customWidth="1" min="7" max="7" width="28.71"/>
    <col customWidth="1" min="8" max="8" width="11.0"/>
    <col customWidth="1" min="10" max="10" width="5.0"/>
    <col customWidth="1" min="11" max="11" width="27.29"/>
  </cols>
  <sheetData>
    <row r="1">
      <c r="B1" s="557" t="s">
        <v>422</v>
      </c>
      <c r="E1" s="558" t="s">
        <v>424</v>
      </c>
      <c r="F1" s="558" t="s">
        <v>425</v>
      </c>
      <c r="G1" s="560" t="s">
        <v>426</v>
      </c>
      <c r="I1" s="561">
        <f>sum(I2:I69)</f>
        <v>20050</v>
      </c>
      <c r="J1" s="558" t="s">
        <v>427</v>
      </c>
    </row>
    <row r="2">
      <c r="B2" s="562" t="s">
        <v>428</v>
      </c>
      <c r="C2" s="113"/>
      <c r="D2" s="163"/>
      <c r="E2" s="563" t="s">
        <v>393</v>
      </c>
      <c r="F2" s="563" t="s">
        <v>86</v>
      </c>
      <c r="G2" s="562" t="s">
        <v>429</v>
      </c>
      <c r="H2" s="163"/>
      <c r="I2" s="563" t="s">
        <v>430</v>
      </c>
      <c r="J2" s="49" t="s">
        <v>431</v>
      </c>
    </row>
    <row r="3">
      <c r="A3" s="434">
        <v>1.0</v>
      </c>
      <c r="B3" s="564" t="s">
        <v>391</v>
      </c>
      <c r="C3" s="380"/>
      <c r="D3" s="380"/>
      <c r="E3" s="565" t="s">
        <v>424</v>
      </c>
      <c r="F3" s="566">
        <v>1.0</v>
      </c>
      <c r="G3" s="567" t="s">
        <v>432</v>
      </c>
      <c r="H3" s="568">
        <v>6000.0</v>
      </c>
      <c r="I3" s="573">
        <f t="shared" ref="I3:I69" si="1">if(E3="Yes",H3*F3,0)</f>
        <v>6000</v>
      </c>
    </row>
    <row r="4">
      <c r="B4" s="107"/>
      <c r="E4" s="565"/>
      <c r="F4" s="576">
        <v>0.0</v>
      </c>
      <c r="G4" s="434" t="s">
        <v>434</v>
      </c>
      <c r="H4" s="577">
        <v>9000.0</v>
      </c>
      <c r="I4" s="579">
        <f t="shared" si="1"/>
        <v>0</v>
      </c>
    </row>
    <row r="5">
      <c r="B5" s="107"/>
      <c r="E5" s="565"/>
      <c r="F5" s="583">
        <v>0.0</v>
      </c>
      <c r="G5" s="585" t="s">
        <v>437</v>
      </c>
      <c r="H5" s="577">
        <v>2500.0</v>
      </c>
      <c r="I5" s="579">
        <f t="shared" si="1"/>
        <v>0</v>
      </c>
    </row>
    <row r="6">
      <c r="B6" s="586"/>
      <c r="C6" s="587"/>
      <c r="D6" s="587"/>
      <c r="E6" s="588"/>
      <c r="F6" s="589">
        <v>0.0</v>
      </c>
      <c r="G6" s="591" t="s">
        <v>440</v>
      </c>
      <c r="H6" s="592">
        <v>3000.0</v>
      </c>
      <c r="I6" s="593">
        <f t="shared" si="1"/>
        <v>0</v>
      </c>
    </row>
    <row r="7">
      <c r="A7" s="434">
        <v>2.0</v>
      </c>
      <c r="B7" s="595" t="s">
        <v>441</v>
      </c>
      <c r="C7" s="380"/>
      <c r="D7" s="380"/>
      <c r="E7" s="565" t="s">
        <v>424</v>
      </c>
      <c r="F7" s="566">
        <v>1.0</v>
      </c>
      <c r="G7" s="596" t="s">
        <v>445</v>
      </c>
      <c r="H7" s="597">
        <v>3000.0</v>
      </c>
      <c r="I7" s="598">
        <f t="shared" si="1"/>
        <v>3000</v>
      </c>
    </row>
    <row r="8">
      <c r="B8" s="107"/>
      <c r="E8" s="565"/>
      <c r="F8" s="576">
        <v>0.0</v>
      </c>
      <c r="G8" s="434" t="s">
        <v>449</v>
      </c>
      <c r="H8" s="577">
        <v>6000.0</v>
      </c>
      <c r="I8" s="579">
        <f t="shared" si="1"/>
        <v>0</v>
      </c>
    </row>
    <row r="9">
      <c r="B9" s="107"/>
      <c r="E9" s="599"/>
      <c r="F9" s="576">
        <v>0.0</v>
      </c>
      <c r="G9" s="434" t="s">
        <v>452</v>
      </c>
      <c r="H9" s="577">
        <v>7000.0</v>
      </c>
      <c r="I9" s="579">
        <f t="shared" si="1"/>
        <v>0</v>
      </c>
    </row>
    <row r="10">
      <c r="B10" s="107"/>
      <c r="E10" s="599"/>
      <c r="F10" s="576">
        <v>0.0</v>
      </c>
      <c r="G10" s="434" t="s">
        <v>454</v>
      </c>
      <c r="H10" s="577">
        <v>7000.0</v>
      </c>
      <c r="I10" s="579">
        <f t="shared" si="1"/>
        <v>0</v>
      </c>
    </row>
    <row r="11">
      <c r="B11" s="586"/>
      <c r="C11" s="587"/>
      <c r="D11" s="587"/>
      <c r="E11" s="588"/>
      <c r="F11" s="589">
        <v>0.0</v>
      </c>
      <c r="G11" s="591" t="s">
        <v>456</v>
      </c>
      <c r="H11" s="592">
        <v>11000.0</v>
      </c>
      <c r="I11" s="579">
        <f t="shared" si="1"/>
        <v>0</v>
      </c>
    </row>
    <row r="12">
      <c r="A12" s="434">
        <v>3.0</v>
      </c>
      <c r="B12" s="603" t="s">
        <v>398</v>
      </c>
      <c r="C12" s="113"/>
      <c r="D12" s="113"/>
      <c r="E12" s="604" t="s">
        <v>424</v>
      </c>
      <c r="F12" s="605">
        <v>20.0</v>
      </c>
      <c r="G12" s="607" t="s">
        <v>460</v>
      </c>
      <c r="H12" s="608">
        <v>250.0</v>
      </c>
      <c r="I12" s="610">
        <f t="shared" si="1"/>
        <v>5000</v>
      </c>
    </row>
    <row r="13">
      <c r="A13" s="434">
        <v>4.0</v>
      </c>
      <c r="B13" s="564" t="s">
        <v>399</v>
      </c>
      <c r="C13" s="380"/>
      <c r="D13" s="380"/>
      <c r="E13" s="565" t="s">
        <v>424</v>
      </c>
      <c r="F13" s="566">
        <v>1.0</v>
      </c>
      <c r="G13" s="567" t="s">
        <v>463</v>
      </c>
      <c r="H13" s="568">
        <v>550.0</v>
      </c>
      <c r="I13" s="573">
        <f t="shared" si="1"/>
        <v>550</v>
      </c>
    </row>
    <row r="14">
      <c r="B14" s="107"/>
      <c r="E14" s="599"/>
      <c r="F14" s="576">
        <v>0.0</v>
      </c>
      <c r="G14" s="22" t="s">
        <v>466</v>
      </c>
      <c r="H14" s="577">
        <v>1500.0</v>
      </c>
      <c r="I14" s="579">
        <f t="shared" si="1"/>
        <v>0</v>
      </c>
    </row>
    <row r="15">
      <c r="B15" s="107"/>
      <c r="E15" s="599"/>
      <c r="F15" s="576">
        <v>0.0</v>
      </c>
      <c r="G15" s="434" t="s">
        <v>468</v>
      </c>
      <c r="H15" s="577">
        <v>500.0</v>
      </c>
      <c r="I15" s="579">
        <f t="shared" si="1"/>
        <v>0</v>
      </c>
    </row>
    <row r="16">
      <c r="B16" s="107"/>
      <c r="E16" s="599"/>
      <c r="F16" s="576">
        <v>0.0</v>
      </c>
      <c r="G16" s="434" t="s">
        <v>469</v>
      </c>
      <c r="H16" s="577">
        <v>1000.0</v>
      </c>
      <c r="I16" s="579">
        <f t="shared" si="1"/>
        <v>0</v>
      </c>
    </row>
    <row r="17">
      <c r="B17" s="586"/>
      <c r="C17" s="587"/>
      <c r="D17" s="587"/>
      <c r="E17" s="588"/>
      <c r="F17" s="589">
        <v>0.0</v>
      </c>
      <c r="G17" s="591" t="s">
        <v>471</v>
      </c>
      <c r="H17" s="592">
        <v>2000.0</v>
      </c>
      <c r="I17" s="579">
        <f t="shared" si="1"/>
        <v>0</v>
      </c>
    </row>
    <row r="18">
      <c r="A18" s="434">
        <v>5.0</v>
      </c>
      <c r="B18" s="564" t="s">
        <v>401</v>
      </c>
      <c r="C18" s="380"/>
      <c r="D18" s="380"/>
      <c r="E18" s="565" t="s">
        <v>424</v>
      </c>
      <c r="F18" s="566">
        <v>1.0</v>
      </c>
      <c r="G18" s="567" t="s">
        <v>473</v>
      </c>
      <c r="H18" s="611">
        <v>5000.0</v>
      </c>
      <c r="I18" s="612">
        <f t="shared" si="1"/>
        <v>5000</v>
      </c>
    </row>
    <row r="19">
      <c r="B19" s="613"/>
      <c r="E19" s="614"/>
      <c r="F19" s="576">
        <v>0.0</v>
      </c>
      <c r="G19" s="615" t="s">
        <v>477</v>
      </c>
      <c r="H19" s="616">
        <v>750.0</v>
      </c>
      <c r="I19" s="618">
        <f t="shared" si="1"/>
        <v>0</v>
      </c>
    </row>
    <row r="20">
      <c r="B20" s="107"/>
      <c r="E20" s="565" t="s">
        <v>424</v>
      </c>
      <c r="F20" s="576">
        <v>1.0</v>
      </c>
      <c r="G20" s="434" t="s">
        <v>479</v>
      </c>
      <c r="H20" s="577">
        <v>500.0</v>
      </c>
      <c r="I20" s="573">
        <f t="shared" si="1"/>
        <v>500</v>
      </c>
    </row>
    <row r="21">
      <c r="B21" s="619"/>
      <c r="C21" s="587"/>
      <c r="D21" s="587"/>
      <c r="E21" s="604" t="s">
        <v>425</v>
      </c>
      <c r="F21" s="589">
        <v>0.0</v>
      </c>
      <c r="G21" s="620" t="s">
        <v>483</v>
      </c>
      <c r="H21" s="621">
        <v>1000.0</v>
      </c>
      <c r="I21" s="618">
        <f t="shared" si="1"/>
        <v>0</v>
      </c>
    </row>
    <row r="22">
      <c r="A22" s="434">
        <v>6.0</v>
      </c>
      <c r="B22" s="595" t="s">
        <v>402</v>
      </c>
      <c r="C22" s="380"/>
      <c r="D22" s="380"/>
      <c r="E22" s="565" t="s">
        <v>425</v>
      </c>
      <c r="F22" s="566">
        <v>1.0</v>
      </c>
      <c r="G22" s="596" t="s">
        <v>486</v>
      </c>
      <c r="H22" s="597">
        <v>1500.0</v>
      </c>
      <c r="I22" s="623">
        <f t="shared" si="1"/>
        <v>0</v>
      </c>
    </row>
    <row r="23">
      <c r="B23" s="613"/>
      <c r="E23" s="565" t="s">
        <v>425</v>
      </c>
      <c r="F23" s="576">
        <v>1.0</v>
      </c>
      <c r="G23" s="624" t="s">
        <v>490</v>
      </c>
      <c r="H23" s="616">
        <v>600.0</v>
      </c>
      <c r="I23" s="618">
        <f t="shared" si="1"/>
        <v>0</v>
      </c>
    </row>
    <row r="24">
      <c r="B24" s="586"/>
      <c r="C24" s="587"/>
      <c r="D24" s="587"/>
      <c r="E24" s="625"/>
      <c r="F24" s="589"/>
      <c r="G24" s="591" t="s">
        <v>493</v>
      </c>
      <c r="H24" s="592">
        <v>4500.0</v>
      </c>
      <c r="I24" s="579">
        <f t="shared" si="1"/>
        <v>0</v>
      </c>
    </row>
    <row r="25">
      <c r="A25" s="434">
        <v>7.0</v>
      </c>
      <c r="B25" s="603" t="s">
        <v>403</v>
      </c>
      <c r="C25" s="113"/>
      <c r="D25" s="113"/>
      <c r="E25" s="604" t="s">
        <v>425</v>
      </c>
      <c r="F25" s="605">
        <v>1.0</v>
      </c>
      <c r="G25" s="607" t="s">
        <v>495</v>
      </c>
      <c r="H25" s="608">
        <v>2500.0</v>
      </c>
      <c r="I25" s="628">
        <f t="shared" si="1"/>
        <v>0</v>
      </c>
    </row>
    <row r="26">
      <c r="A26" s="434">
        <v>8.0</v>
      </c>
      <c r="B26" s="564" t="s">
        <v>404</v>
      </c>
      <c r="C26" s="380"/>
      <c r="D26" s="380"/>
      <c r="E26" s="599"/>
      <c r="F26" s="629"/>
      <c r="G26" s="567" t="s">
        <v>500</v>
      </c>
      <c r="H26" s="568">
        <v>1500.0</v>
      </c>
      <c r="I26" s="579">
        <f t="shared" si="1"/>
        <v>0</v>
      </c>
    </row>
    <row r="27">
      <c r="B27" s="107"/>
      <c r="E27" s="599"/>
      <c r="F27" s="576">
        <v>0.0</v>
      </c>
      <c r="G27" s="434" t="s">
        <v>502</v>
      </c>
      <c r="H27" s="577">
        <v>200.0</v>
      </c>
      <c r="I27" s="579">
        <f t="shared" si="1"/>
        <v>0</v>
      </c>
    </row>
    <row r="28">
      <c r="B28" s="619"/>
      <c r="C28" s="587"/>
      <c r="D28" s="587"/>
      <c r="E28" s="625"/>
      <c r="F28" s="589">
        <v>0.0</v>
      </c>
      <c r="G28" s="620" t="s">
        <v>505</v>
      </c>
      <c r="H28" s="621">
        <v>4000.0</v>
      </c>
      <c r="I28" s="618">
        <f t="shared" si="1"/>
        <v>0</v>
      </c>
    </row>
    <row r="29">
      <c r="A29" s="434">
        <v>9.0</v>
      </c>
      <c r="B29" s="564" t="s">
        <v>405</v>
      </c>
      <c r="C29" s="380"/>
      <c r="D29" s="380"/>
      <c r="E29" s="599"/>
      <c r="F29" s="566">
        <v>0.0</v>
      </c>
      <c r="G29" s="567" t="s">
        <v>508</v>
      </c>
      <c r="H29" s="568">
        <v>300.0</v>
      </c>
      <c r="I29" s="632">
        <f t="shared" si="1"/>
        <v>0</v>
      </c>
    </row>
    <row r="30">
      <c r="A30" s="434">
        <v>10.0</v>
      </c>
      <c r="B30" s="585" t="s">
        <v>406</v>
      </c>
      <c r="E30" s="599"/>
      <c r="F30" s="576">
        <v>0.0</v>
      </c>
      <c r="G30" s="434" t="s">
        <v>510</v>
      </c>
      <c r="H30" s="577">
        <v>250.0</v>
      </c>
      <c r="I30" s="579">
        <f t="shared" si="1"/>
        <v>0</v>
      </c>
    </row>
    <row r="31">
      <c r="B31" s="107"/>
      <c r="E31" s="599"/>
      <c r="F31" s="576">
        <v>0.0</v>
      </c>
      <c r="G31" s="434" t="s">
        <v>512</v>
      </c>
      <c r="H31" s="577">
        <v>800.0</v>
      </c>
      <c r="I31" s="579">
        <f t="shared" si="1"/>
        <v>0</v>
      </c>
    </row>
    <row r="32">
      <c r="B32" s="107"/>
      <c r="E32" s="599"/>
      <c r="F32" s="576">
        <v>0.0</v>
      </c>
      <c r="G32" s="434" t="s">
        <v>514</v>
      </c>
      <c r="H32" s="577">
        <v>1000.0</v>
      </c>
      <c r="I32" s="579">
        <f t="shared" si="1"/>
        <v>0</v>
      </c>
    </row>
    <row r="33">
      <c r="B33" s="586"/>
      <c r="C33" s="587"/>
      <c r="D33" s="587"/>
      <c r="E33" s="588"/>
      <c r="F33" s="589">
        <v>0.0</v>
      </c>
      <c r="G33" s="591" t="s">
        <v>515</v>
      </c>
      <c r="H33" s="592">
        <v>200.0</v>
      </c>
      <c r="I33" s="579">
        <f t="shared" si="1"/>
        <v>0</v>
      </c>
    </row>
    <row r="34">
      <c r="A34" s="434">
        <v>11.0</v>
      </c>
      <c r="B34" s="564" t="s">
        <v>407</v>
      </c>
      <c r="C34" s="380"/>
      <c r="D34" s="380"/>
      <c r="E34" s="565" t="s">
        <v>425</v>
      </c>
      <c r="F34" s="566">
        <v>1400.0</v>
      </c>
      <c r="G34" s="567" t="s">
        <v>518</v>
      </c>
      <c r="H34" s="568">
        <v>2.0</v>
      </c>
      <c r="I34" s="632">
        <f t="shared" si="1"/>
        <v>0</v>
      </c>
    </row>
    <row r="35">
      <c r="B35" s="613"/>
      <c r="E35" s="614"/>
      <c r="F35" s="576">
        <v>0.0</v>
      </c>
      <c r="G35" s="624" t="s">
        <v>521</v>
      </c>
      <c r="H35" s="616">
        <v>2500.0</v>
      </c>
      <c r="I35" s="618">
        <f t="shared" si="1"/>
        <v>0</v>
      </c>
    </row>
    <row r="36">
      <c r="B36" s="586"/>
      <c r="C36" s="587"/>
      <c r="D36" s="587"/>
      <c r="E36" s="588"/>
      <c r="F36" s="589">
        <v>0.0</v>
      </c>
      <c r="G36" s="591" t="s">
        <v>523</v>
      </c>
      <c r="H36" s="592">
        <v>4500.0</v>
      </c>
      <c r="I36" s="579">
        <f t="shared" si="1"/>
        <v>0</v>
      </c>
    </row>
    <row r="37">
      <c r="A37" s="434">
        <v>12.0</v>
      </c>
      <c r="B37" s="595" t="s">
        <v>408</v>
      </c>
      <c r="C37" s="380"/>
      <c r="D37" s="380"/>
      <c r="E37" s="565" t="s">
        <v>425</v>
      </c>
      <c r="F37" s="566">
        <v>1.0</v>
      </c>
      <c r="G37" s="596" t="s">
        <v>525</v>
      </c>
      <c r="H37" s="597">
        <v>1500.0</v>
      </c>
      <c r="I37" s="623">
        <f t="shared" si="1"/>
        <v>0</v>
      </c>
    </row>
    <row r="38">
      <c r="A38" s="434">
        <v>13.0</v>
      </c>
      <c r="B38" s="585" t="s">
        <v>409</v>
      </c>
      <c r="E38" s="599"/>
      <c r="F38" s="576"/>
      <c r="G38" s="434" t="s">
        <v>527</v>
      </c>
      <c r="H38" s="577">
        <v>2000.0</v>
      </c>
      <c r="I38" s="579">
        <f t="shared" si="1"/>
        <v>0</v>
      </c>
    </row>
    <row r="39">
      <c r="A39" s="434">
        <v>14.0</v>
      </c>
      <c r="B39" s="585" t="s">
        <v>410</v>
      </c>
      <c r="E39" s="599"/>
      <c r="F39" s="576">
        <v>0.0</v>
      </c>
      <c r="G39" s="637" t="s">
        <v>531</v>
      </c>
      <c r="H39" s="639"/>
      <c r="I39" s="579">
        <f t="shared" si="1"/>
        <v>0</v>
      </c>
    </row>
    <row r="40">
      <c r="B40" s="107"/>
      <c r="E40" s="599"/>
      <c r="F40" s="576">
        <v>0.0</v>
      </c>
      <c r="G40" s="637" t="s">
        <v>531</v>
      </c>
      <c r="H40" s="639"/>
      <c r="I40" s="579">
        <f t="shared" si="1"/>
        <v>0</v>
      </c>
    </row>
    <row r="41">
      <c r="B41" s="585"/>
      <c r="E41" s="599"/>
      <c r="F41" s="576">
        <v>0.0</v>
      </c>
      <c r="G41" s="585" t="s">
        <v>533</v>
      </c>
      <c r="H41" s="639"/>
      <c r="I41" s="579">
        <f t="shared" si="1"/>
        <v>0</v>
      </c>
    </row>
    <row r="42">
      <c r="B42" s="640"/>
      <c r="C42" s="587"/>
      <c r="D42" s="587"/>
      <c r="E42" s="588"/>
      <c r="F42" s="641">
        <v>0.0</v>
      </c>
      <c r="G42" s="643" t="s">
        <v>536</v>
      </c>
      <c r="H42" s="644"/>
      <c r="I42" s="579">
        <f t="shared" si="1"/>
        <v>0</v>
      </c>
    </row>
    <row r="43">
      <c r="A43" s="434">
        <v>15.0</v>
      </c>
      <c r="B43" s="595" t="s">
        <v>411</v>
      </c>
      <c r="C43" s="380"/>
      <c r="D43" s="380"/>
      <c r="E43" s="565" t="s">
        <v>425</v>
      </c>
      <c r="F43" s="646">
        <v>0.0</v>
      </c>
      <c r="G43" s="595" t="s">
        <v>539</v>
      </c>
      <c r="H43" s="597">
        <v>2000.0</v>
      </c>
      <c r="I43" s="623">
        <f t="shared" si="1"/>
        <v>0</v>
      </c>
    </row>
    <row r="44">
      <c r="A44" s="434">
        <v>16.0</v>
      </c>
      <c r="B44" s="585" t="s">
        <v>412</v>
      </c>
      <c r="E44" s="599"/>
      <c r="F44" s="583">
        <v>0.0</v>
      </c>
      <c r="G44" s="585" t="s">
        <v>542</v>
      </c>
      <c r="H44" s="577">
        <v>6000.0</v>
      </c>
      <c r="I44" s="579">
        <f t="shared" si="1"/>
        <v>0</v>
      </c>
    </row>
    <row r="45">
      <c r="A45" s="434">
        <v>17.0</v>
      </c>
      <c r="B45" s="585" t="s">
        <v>413</v>
      </c>
      <c r="E45" s="599"/>
      <c r="F45" s="583">
        <v>0.0</v>
      </c>
      <c r="G45" s="585" t="s">
        <v>544</v>
      </c>
      <c r="H45" s="577">
        <v>3500.0</v>
      </c>
      <c r="I45" s="579">
        <f t="shared" si="1"/>
        <v>0</v>
      </c>
    </row>
    <row r="46">
      <c r="B46" s="107"/>
      <c r="E46" s="599"/>
      <c r="F46" s="583">
        <v>0.0</v>
      </c>
      <c r="G46" s="585" t="s">
        <v>546</v>
      </c>
      <c r="H46" s="577">
        <v>7500.0</v>
      </c>
      <c r="I46" s="579">
        <f t="shared" si="1"/>
        <v>0</v>
      </c>
    </row>
    <row r="47">
      <c r="B47" s="586"/>
      <c r="C47" s="587"/>
      <c r="D47" s="587"/>
      <c r="E47" s="588"/>
      <c r="F47" s="641">
        <v>0.0</v>
      </c>
      <c r="G47" s="640" t="s">
        <v>549</v>
      </c>
      <c r="H47" s="592">
        <v>4000.0</v>
      </c>
      <c r="I47" s="579">
        <f t="shared" si="1"/>
        <v>0</v>
      </c>
    </row>
    <row r="48">
      <c r="A48" s="434">
        <v>18.0</v>
      </c>
      <c r="B48" s="595" t="s">
        <v>414</v>
      </c>
      <c r="C48" s="380"/>
      <c r="D48" s="380"/>
      <c r="E48" s="614"/>
      <c r="F48" s="646">
        <v>0.0</v>
      </c>
      <c r="G48" s="595" t="s">
        <v>552</v>
      </c>
      <c r="H48" s="597">
        <v>350.0</v>
      </c>
      <c r="I48" s="623">
        <f t="shared" si="1"/>
        <v>0</v>
      </c>
    </row>
    <row r="49">
      <c r="B49" s="613"/>
      <c r="E49" s="614"/>
      <c r="F49" s="583">
        <v>0.0</v>
      </c>
      <c r="G49" s="651" t="s">
        <v>555</v>
      </c>
      <c r="H49" s="616">
        <v>500.0</v>
      </c>
      <c r="I49" s="618">
        <f t="shared" si="1"/>
        <v>0</v>
      </c>
    </row>
    <row r="50">
      <c r="B50" s="107"/>
      <c r="E50" s="614"/>
      <c r="F50" s="583">
        <v>0.0</v>
      </c>
      <c r="G50" s="585" t="s">
        <v>559</v>
      </c>
      <c r="H50" s="577">
        <v>200.0</v>
      </c>
      <c r="I50" s="579">
        <f t="shared" si="1"/>
        <v>0</v>
      </c>
    </row>
    <row r="51">
      <c r="B51" s="619"/>
      <c r="C51" s="587"/>
      <c r="D51" s="587"/>
      <c r="E51" s="625"/>
      <c r="F51" s="641">
        <v>0.0</v>
      </c>
      <c r="G51" s="653" t="s">
        <v>563</v>
      </c>
      <c r="H51" s="621">
        <v>250.0</v>
      </c>
      <c r="I51" s="618">
        <f t="shared" si="1"/>
        <v>0</v>
      </c>
    </row>
    <row r="52">
      <c r="A52" s="434">
        <v>19.0</v>
      </c>
      <c r="B52" s="655" t="s">
        <v>415</v>
      </c>
      <c r="C52" s="380"/>
      <c r="D52" s="380"/>
      <c r="E52" s="565" t="s">
        <v>425</v>
      </c>
      <c r="F52" s="646">
        <v>1.0</v>
      </c>
      <c r="G52" s="595" t="s">
        <v>568</v>
      </c>
      <c r="H52" s="597">
        <v>1500.0</v>
      </c>
      <c r="I52" s="623">
        <f t="shared" si="1"/>
        <v>0</v>
      </c>
    </row>
    <row r="53">
      <c r="A53" s="434">
        <v>20.0</v>
      </c>
      <c r="B53" s="585" t="s">
        <v>416</v>
      </c>
      <c r="E53" s="599"/>
      <c r="F53" s="583">
        <v>0.0</v>
      </c>
      <c r="G53" s="585" t="s">
        <v>572</v>
      </c>
      <c r="H53" s="577">
        <v>1000.0</v>
      </c>
      <c r="I53" s="579">
        <f t="shared" si="1"/>
        <v>0</v>
      </c>
    </row>
    <row r="54">
      <c r="A54" s="434">
        <v>21.0</v>
      </c>
      <c r="B54" s="585" t="s">
        <v>417</v>
      </c>
      <c r="E54" s="599"/>
      <c r="F54" s="583">
        <v>0.0</v>
      </c>
      <c r="G54" s="585" t="s">
        <v>573</v>
      </c>
      <c r="H54" s="577">
        <v>500.0</v>
      </c>
      <c r="I54" s="579">
        <f t="shared" si="1"/>
        <v>0</v>
      </c>
    </row>
    <row r="55">
      <c r="B55" s="586"/>
      <c r="C55" s="587"/>
      <c r="D55" s="587"/>
      <c r="E55" s="588"/>
      <c r="F55" s="641">
        <v>0.0</v>
      </c>
      <c r="G55" s="640" t="s">
        <v>574</v>
      </c>
      <c r="H55" s="592">
        <v>350.0</v>
      </c>
      <c r="I55" s="579">
        <f t="shared" si="1"/>
        <v>0</v>
      </c>
    </row>
    <row r="56">
      <c r="A56" s="434">
        <v>22.0</v>
      </c>
      <c r="B56" s="660" t="s">
        <v>418</v>
      </c>
      <c r="C56" s="380"/>
      <c r="D56" s="380"/>
      <c r="E56" s="599"/>
      <c r="F56" s="566">
        <v>0.0</v>
      </c>
      <c r="G56" s="564" t="s">
        <v>576</v>
      </c>
      <c r="H56" s="568">
        <v>3.0</v>
      </c>
      <c r="I56" s="632">
        <f t="shared" si="1"/>
        <v>0</v>
      </c>
    </row>
    <row r="57">
      <c r="B57" s="107"/>
      <c r="E57" s="599"/>
      <c r="F57" s="576">
        <v>0.0</v>
      </c>
      <c r="G57" s="585" t="s">
        <v>577</v>
      </c>
      <c r="H57" s="577">
        <v>500.0</v>
      </c>
      <c r="I57" s="579">
        <f t="shared" si="1"/>
        <v>0</v>
      </c>
    </row>
    <row r="58">
      <c r="B58" s="107"/>
      <c r="E58" s="599"/>
      <c r="F58" s="576">
        <v>0.0</v>
      </c>
      <c r="G58" s="585" t="s">
        <v>578</v>
      </c>
      <c r="H58" s="577">
        <v>1000.0</v>
      </c>
      <c r="I58" s="579">
        <f t="shared" si="1"/>
        <v>0</v>
      </c>
    </row>
    <row r="59">
      <c r="B59" s="107"/>
      <c r="E59" s="565"/>
      <c r="F59" s="576">
        <v>0.0</v>
      </c>
      <c r="G59" s="585" t="s">
        <v>580</v>
      </c>
      <c r="H59" s="577">
        <v>9000.0</v>
      </c>
      <c r="I59" s="579">
        <f t="shared" si="1"/>
        <v>0</v>
      </c>
    </row>
    <row r="60">
      <c r="B60" s="107"/>
      <c r="E60" s="599"/>
      <c r="F60" s="576">
        <v>0.0</v>
      </c>
      <c r="G60" s="585" t="s">
        <v>581</v>
      </c>
      <c r="H60" s="577">
        <v>10000.0</v>
      </c>
      <c r="I60" s="579">
        <f t="shared" si="1"/>
        <v>0</v>
      </c>
    </row>
    <row r="61">
      <c r="B61" s="586"/>
      <c r="C61" s="587"/>
      <c r="D61" s="587"/>
      <c r="E61" s="588"/>
      <c r="F61" s="589">
        <v>0.0</v>
      </c>
      <c r="G61" s="640" t="s">
        <v>582</v>
      </c>
      <c r="H61" s="592">
        <v>300.0</v>
      </c>
      <c r="I61" s="593">
        <f t="shared" si="1"/>
        <v>0</v>
      </c>
    </row>
    <row r="62">
      <c r="A62" s="434">
        <v>23.0</v>
      </c>
      <c r="B62" s="564" t="s">
        <v>419</v>
      </c>
      <c r="C62" s="380"/>
      <c r="D62" s="380"/>
      <c r="E62" s="565" t="s">
        <v>425</v>
      </c>
      <c r="F62" s="566">
        <v>1.0</v>
      </c>
      <c r="G62" s="567" t="s">
        <v>584</v>
      </c>
      <c r="H62" s="568">
        <v>500.0</v>
      </c>
      <c r="I62" s="632">
        <f t="shared" si="1"/>
        <v>0</v>
      </c>
    </row>
    <row r="63">
      <c r="A63" s="434">
        <v>24.0</v>
      </c>
      <c r="B63" s="585" t="s">
        <v>420</v>
      </c>
      <c r="E63" s="565"/>
      <c r="F63" s="576">
        <v>0.0</v>
      </c>
      <c r="G63" s="434" t="s">
        <v>586</v>
      </c>
      <c r="H63" s="577">
        <v>600.0</v>
      </c>
      <c r="I63" s="579">
        <f t="shared" si="1"/>
        <v>0</v>
      </c>
    </row>
    <row r="64">
      <c r="B64" s="107"/>
      <c r="E64" s="599"/>
      <c r="F64" s="576">
        <v>0.0</v>
      </c>
      <c r="G64" s="434" t="s">
        <v>588</v>
      </c>
      <c r="H64" s="577">
        <v>1000.0</v>
      </c>
      <c r="I64" s="579">
        <f t="shared" si="1"/>
        <v>0</v>
      </c>
    </row>
    <row r="65">
      <c r="B65" s="613"/>
      <c r="C65" s="669"/>
      <c r="D65" s="669"/>
      <c r="E65" s="614"/>
      <c r="F65" s="576">
        <v>0.0</v>
      </c>
      <c r="G65" s="624" t="s">
        <v>589</v>
      </c>
      <c r="H65" s="616">
        <v>3500.0</v>
      </c>
      <c r="I65" s="618">
        <f t="shared" si="1"/>
        <v>0</v>
      </c>
    </row>
    <row r="66">
      <c r="B66" s="107"/>
      <c r="E66" s="599"/>
      <c r="F66" s="576">
        <v>0.0</v>
      </c>
      <c r="G66" s="434" t="s">
        <v>591</v>
      </c>
      <c r="H66" s="577">
        <v>2000.0</v>
      </c>
      <c r="I66" s="579">
        <f t="shared" si="1"/>
        <v>0</v>
      </c>
    </row>
    <row r="67">
      <c r="B67" s="107"/>
      <c r="E67" s="599"/>
      <c r="F67" s="576">
        <v>0.0</v>
      </c>
      <c r="G67" s="434" t="s">
        <v>592</v>
      </c>
      <c r="H67" s="577">
        <v>3500.0</v>
      </c>
      <c r="I67" s="579">
        <f t="shared" si="1"/>
        <v>0</v>
      </c>
    </row>
    <row r="68">
      <c r="B68" s="586"/>
      <c r="C68" s="671"/>
      <c r="D68" s="671"/>
      <c r="E68" s="588"/>
      <c r="F68" s="589"/>
      <c r="G68" s="591" t="s">
        <v>594</v>
      </c>
      <c r="H68" s="592">
        <v>5000.0</v>
      </c>
      <c r="I68" s="593">
        <f t="shared" si="1"/>
        <v>0</v>
      </c>
    </row>
    <row r="69">
      <c r="A69" s="434">
        <v>25.0</v>
      </c>
      <c r="B69" s="564" t="s">
        <v>311</v>
      </c>
      <c r="C69" s="672"/>
      <c r="D69" s="672"/>
      <c r="E69" s="588"/>
      <c r="F69" s="566">
        <v>0.0</v>
      </c>
      <c r="G69" s="567" t="s">
        <v>596</v>
      </c>
      <c r="H69" s="568">
        <v>0.5</v>
      </c>
      <c r="I69" s="632">
        <f t="shared" si="1"/>
        <v>0</v>
      </c>
    </row>
    <row r="70">
      <c r="B70" s="672"/>
      <c r="C70" s="672"/>
      <c r="D70" s="672"/>
      <c r="E70" s="673"/>
      <c r="F70" s="674"/>
      <c r="G70" s="672"/>
      <c r="H70" s="675"/>
      <c r="I70" s="672"/>
    </row>
  </sheetData>
  <mergeCells count="66">
    <mergeCell ref="B46:D46"/>
    <mergeCell ref="B47:D47"/>
    <mergeCell ref="B48:D48"/>
    <mergeCell ref="B49:D49"/>
    <mergeCell ref="B50:D50"/>
    <mergeCell ref="B51:D51"/>
    <mergeCell ref="B52:D52"/>
    <mergeCell ref="B60:D60"/>
    <mergeCell ref="B61:D61"/>
    <mergeCell ref="B62:D62"/>
    <mergeCell ref="B53:D53"/>
    <mergeCell ref="B54:D54"/>
    <mergeCell ref="B55:D55"/>
    <mergeCell ref="B56:D56"/>
    <mergeCell ref="B57:D57"/>
    <mergeCell ref="B58:D58"/>
    <mergeCell ref="B59:D59"/>
    <mergeCell ref="B1:D1"/>
    <mergeCell ref="G1:H1"/>
    <mergeCell ref="J1:K1"/>
    <mergeCell ref="B2:D2"/>
    <mergeCell ref="G2:H2"/>
    <mergeCell ref="J2:K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dataValidations>
    <dataValidation type="list" allowBlank="1" sqref="E3:E69">
      <formula1>'Rehab Estimator'!$E$1:$F$1</formula1>
    </dataValidation>
  </dataValidations>
  <hyperlinks>
    <hyperlink r:id="rId1" ref="J1"/>
    <hyperlink r:id="rId2" ref="J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53.29"/>
    <col customWidth="1" min="3" max="3" width="88.14"/>
    <col customWidth="1" min="4" max="4" width="14.71"/>
    <col customWidth="1" min="5" max="13" width="8.86"/>
    <col customWidth="1" min="14" max="23" width="10.0"/>
    <col customWidth="1" min="24" max="26" width="8.71"/>
  </cols>
  <sheetData>
    <row r="1">
      <c r="A1" s="570" t="s">
        <v>243</v>
      </c>
      <c r="B1" s="571" t="s">
        <v>336</v>
      </c>
      <c r="C1" s="571" t="s">
        <v>433</v>
      </c>
      <c r="D1" s="571"/>
      <c r="E1" s="572"/>
      <c r="F1" s="572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</row>
    <row r="2">
      <c r="A2" s="578" t="s">
        <v>435</v>
      </c>
      <c r="B2" s="580" t="s">
        <v>343</v>
      </c>
      <c r="C2" s="581" t="s">
        <v>436</v>
      </c>
      <c r="D2" s="582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</row>
    <row r="3">
      <c r="A3" s="578" t="s">
        <v>435</v>
      </c>
      <c r="B3" s="580" t="s">
        <v>79</v>
      </c>
      <c r="C3" s="581" t="s">
        <v>438</v>
      </c>
      <c r="D3" s="582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</row>
    <row r="4" ht="30.0" customHeight="1">
      <c r="A4" s="578" t="s">
        <v>435</v>
      </c>
      <c r="B4" s="580" t="s">
        <v>342</v>
      </c>
      <c r="C4" s="581" t="s">
        <v>439</v>
      </c>
      <c r="D4" s="582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</row>
    <row r="5" ht="30.0" customHeight="1">
      <c r="A5" s="578" t="s">
        <v>435</v>
      </c>
      <c r="B5" s="582" t="s">
        <v>442</v>
      </c>
      <c r="C5" s="581" t="s">
        <v>443</v>
      </c>
      <c r="D5" s="582"/>
      <c r="E5" s="574"/>
      <c r="F5" s="574"/>
      <c r="G5" s="574"/>
      <c r="H5" s="574"/>
      <c r="I5" s="574"/>
      <c r="J5" s="574"/>
      <c r="K5" s="574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</row>
    <row r="6">
      <c r="A6" s="578" t="s">
        <v>444</v>
      </c>
      <c r="B6" s="580" t="s">
        <v>444</v>
      </c>
      <c r="C6" s="581" t="s">
        <v>446</v>
      </c>
      <c r="D6" s="582"/>
      <c r="E6" s="574"/>
      <c r="F6" s="574"/>
      <c r="G6" s="574"/>
      <c r="H6" s="574"/>
      <c r="I6" s="574"/>
      <c r="J6" s="574"/>
      <c r="K6" s="574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</row>
    <row r="7" ht="30.0" customHeight="1">
      <c r="A7" s="578" t="s">
        <v>444</v>
      </c>
      <c r="B7" s="580" t="s">
        <v>349</v>
      </c>
      <c r="C7" s="581" t="s">
        <v>448</v>
      </c>
      <c r="D7" s="582"/>
      <c r="E7" s="574"/>
      <c r="F7" s="574"/>
      <c r="G7" s="574"/>
      <c r="H7" s="574"/>
      <c r="I7" s="574"/>
      <c r="J7" s="574"/>
      <c r="K7" s="574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</row>
    <row r="8">
      <c r="A8" s="578" t="s">
        <v>444</v>
      </c>
      <c r="B8" s="580" t="s">
        <v>450</v>
      </c>
      <c r="C8" s="581" t="s">
        <v>451</v>
      </c>
      <c r="D8" s="582"/>
      <c r="E8" s="574"/>
      <c r="F8" s="574"/>
      <c r="G8" s="574"/>
      <c r="H8" s="574"/>
      <c r="I8" s="574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</row>
    <row r="9" ht="30.0" customHeight="1">
      <c r="A9" s="578" t="s">
        <v>444</v>
      </c>
      <c r="B9" s="580" t="s">
        <v>351</v>
      </c>
      <c r="C9" s="581" t="s">
        <v>453</v>
      </c>
      <c r="D9" s="582"/>
      <c r="E9" s="574"/>
      <c r="F9" s="574"/>
      <c r="G9" s="574"/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</row>
    <row r="10">
      <c r="A10" s="578" t="s">
        <v>444</v>
      </c>
      <c r="B10" s="580" t="s">
        <v>7</v>
      </c>
      <c r="C10" s="578" t="s">
        <v>455</v>
      </c>
      <c r="D10" s="582"/>
      <c r="E10" s="574"/>
      <c r="F10" s="574"/>
      <c r="G10" s="574"/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4"/>
      <c r="W10" s="574"/>
    </row>
    <row r="11" ht="30.0" customHeight="1">
      <c r="A11" s="578" t="s">
        <v>444</v>
      </c>
      <c r="B11" s="602" t="s">
        <v>352</v>
      </c>
      <c r="C11" s="581" t="s">
        <v>457</v>
      </c>
      <c r="D11" s="582"/>
      <c r="E11" s="574"/>
      <c r="F11" s="574"/>
      <c r="G11" s="574"/>
      <c r="H11" s="574"/>
      <c r="I11" s="574"/>
      <c r="J11" s="574"/>
      <c r="K11" s="574"/>
      <c r="L11" s="574"/>
      <c r="M11" s="574"/>
      <c r="N11" s="574"/>
      <c r="O11" s="574"/>
      <c r="P11" s="574"/>
      <c r="Q11" s="574"/>
      <c r="R11" s="574"/>
      <c r="S11" s="574"/>
      <c r="T11" s="574"/>
      <c r="U11" s="574"/>
      <c r="V11" s="574"/>
      <c r="W11" s="574"/>
    </row>
    <row r="12" ht="30.0" customHeight="1">
      <c r="A12" s="578" t="s">
        <v>458</v>
      </c>
      <c r="B12" s="580" t="s">
        <v>458</v>
      </c>
      <c r="C12" s="581" t="s">
        <v>459</v>
      </c>
      <c r="D12" s="582"/>
      <c r="E12" s="574"/>
      <c r="F12" s="574"/>
      <c r="G12" s="574"/>
      <c r="H12" s="574"/>
      <c r="I12" s="574"/>
      <c r="J12" s="574"/>
      <c r="K12" s="574"/>
      <c r="L12" s="574"/>
      <c r="M12" s="574"/>
      <c r="N12" s="574"/>
      <c r="O12" s="574"/>
      <c r="P12" s="574"/>
      <c r="Q12" s="574"/>
      <c r="R12" s="574"/>
      <c r="S12" s="574"/>
      <c r="T12" s="574"/>
      <c r="U12" s="574"/>
      <c r="V12" s="574"/>
      <c r="W12" s="574"/>
    </row>
    <row r="13">
      <c r="A13" s="578" t="s">
        <v>458</v>
      </c>
      <c r="B13" s="580" t="s">
        <v>355</v>
      </c>
      <c r="C13" s="581" t="s">
        <v>461</v>
      </c>
      <c r="D13" s="582"/>
      <c r="E13" s="574"/>
      <c r="F13" s="574"/>
      <c r="G13" s="574"/>
      <c r="H13" s="574"/>
      <c r="I13" s="574"/>
      <c r="J13" s="574"/>
      <c r="K13" s="574"/>
      <c r="L13" s="574"/>
      <c r="M13" s="574"/>
      <c r="N13" s="574"/>
      <c r="O13" s="574"/>
      <c r="P13" s="574"/>
      <c r="Q13" s="574"/>
      <c r="R13" s="574"/>
      <c r="S13" s="574"/>
      <c r="T13" s="574"/>
      <c r="U13" s="574"/>
      <c r="V13" s="574"/>
      <c r="W13" s="574"/>
    </row>
    <row r="14">
      <c r="A14" s="578" t="s">
        <v>458</v>
      </c>
      <c r="B14" s="580" t="s">
        <v>356</v>
      </c>
      <c r="C14" s="581" t="s">
        <v>462</v>
      </c>
      <c r="D14" s="582"/>
      <c r="E14" s="574"/>
      <c r="F14" s="574"/>
      <c r="G14" s="574"/>
      <c r="H14" s="574"/>
      <c r="I14" s="574"/>
      <c r="J14" s="574"/>
      <c r="K14" s="574"/>
      <c r="L14" s="574"/>
      <c r="M14" s="574"/>
      <c r="N14" s="574"/>
      <c r="O14" s="574"/>
      <c r="P14" s="574"/>
      <c r="Q14" s="574"/>
      <c r="R14" s="574"/>
      <c r="S14" s="574"/>
      <c r="T14" s="574"/>
      <c r="U14" s="574"/>
      <c r="V14" s="574"/>
      <c r="W14" s="574"/>
    </row>
    <row r="15">
      <c r="A15" s="578" t="s">
        <v>458</v>
      </c>
      <c r="B15" s="580" t="s">
        <v>464</v>
      </c>
      <c r="C15" s="581" t="s">
        <v>465</v>
      </c>
      <c r="D15" s="582"/>
      <c r="E15" s="574"/>
      <c r="F15" s="574"/>
      <c r="G15" s="574"/>
      <c r="H15" s="574"/>
      <c r="I15" s="574"/>
      <c r="J15" s="574"/>
      <c r="K15" s="574"/>
      <c r="L15" s="574"/>
      <c r="M15" s="574"/>
      <c r="N15" s="574"/>
      <c r="O15" s="574"/>
      <c r="P15" s="574"/>
      <c r="Q15" s="574"/>
      <c r="R15" s="574"/>
      <c r="S15" s="574"/>
      <c r="T15" s="574"/>
      <c r="U15" s="574"/>
      <c r="V15" s="574"/>
      <c r="W15" s="574"/>
    </row>
    <row r="16">
      <c r="A16" s="578" t="s">
        <v>458</v>
      </c>
      <c r="B16" s="580" t="s">
        <v>358</v>
      </c>
      <c r="C16" s="581" t="s">
        <v>467</v>
      </c>
      <c r="D16" s="582"/>
      <c r="E16" s="574"/>
      <c r="F16" s="574"/>
      <c r="G16" s="574"/>
      <c r="H16" s="574"/>
      <c r="I16" s="574"/>
      <c r="J16" s="574"/>
      <c r="K16" s="574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</row>
    <row r="17">
      <c r="A17" s="578" t="s">
        <v>458</v>
      </c>
      <c r="B17" s="580" t="s">
        <v>359</v>
      </c>
      <c r="C17" s="581" t="s">
        <v>470</v>
      </c>
      <c r="D17" s="582"/>
      <c r="E17" s="574"/>
      <c r="F17" s="574"/>
      <c r="G17" s="574"/>
      <c r="H17" s="574"/>
      <c r="I17" s="574"/>
      <c r="J17" s="574"/>
      <c r="K17" s="574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</row>
    <row r="18">
      <c r="A18" s="578" t="s">
        <v>458</v>
      </c>
      <c r="B18" s="580" t="s">
        <v>360</v>
      </c>
      <c r="C18" s="581" t="s">
        <v>472</v>
      </c>
      <c r="D18" s="582"/>
      <c r="E18" s="574"/>
      <c r="F18" s="574"/>
      <c r="G18" s="574"/>
      <c r="H18" s="574"/>
      <c r="I18" s="574"/>
      <c r="J18" s="574"/>
      <c r="K18" s="574"/>
      <c r="L18" s="574"/>
      <c r="M18" s="574"/>
      <c r="N18" s="574"/>
      <c r="O18" s="574"/>
      <c r="P18" s="574"/>
      <c r="Q18" s="574"/>
      <c r="R18" s="574"/>
      <c r="S18" s="574"/>
      <c r="T18" s="574"/>
      <c r="U18" s="574"/>
      <c r="V18" s="574"/>
      <c r="W18" s="574"/>
    </row>
    <row r="19">
      <c r="A19" s="578" t="s">
        <v>458</v>
      </c>
      <c r="B19" s="580" t="s">
        <v>474</v>
      </c>
      <c r="C19" s="581" t="s">
        <v>475</v>
      </c>
      <c r="D19" s="582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</row>
    <row r="20">
      <c r="A20" s="578" t="s">
        <v>458</v>
      </c>
      <c r="B20" s="580" t="s">
        <v>362</v>
      </c>
      <c r="C20" s="581" t="s">
        <v>476</v>
      </c>
      <c r="D20" s="582"/>
      <c r="E20" s="574"/>
      <c r="F20" s="574"/>
      <c r="G20" s="574"/>
      <c r="H20" s="574"/>
      <c r="I20" s="574"/>
      <c r="J20" s="574"/>
      <c r="K20" s="574"/>
      <c r="L20" s="574"/>
      <c r="M20" s="574"/>
      <c r="N20" s="574"/>
      <c r="O20" s="574"/>
      <c r="P20" s="574"/>
      <c r="Q20" s="574"/>
      <c r="R20" s="574"/>
      <c r="S20" s="574"/>
      <c r="T20" s="574"/>
      <c r="U20" s="574"/>
      <c r="V20" s="574"/>
      <c r="W20" s="574"/>
    </row>
    <row r="21" ht="15.75" customHeight="1">
      <c r="A21" s="578" t="s">
        <v>458</v>
      </c>
      <c r="B21" s="580" t="s">
        <v>363</v>
      </c>
      <c r="C21" s="581" t="s">
        <v>478</v>
      </c>
      <c r="D21" s="582"/>
      <c r="E21" s="574"/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/>
      <c r="Q21" s="574"/>
      <c r="R21" s="574"/>
      <c r="S21" s="574"/>
      <c r="T21" s="574"/>
      <c r="U21" s="574"/>
      <c r="V21" s="574"/>
      <c r="W21" s="574"/>
    </row>
    <row r="22" ht="15.75" customHeight="1">
      <c r="A22" s="578" t="s">
        <v>458</v>
      </c>
      <c r="B22" s="580" t="s">
        <v>364</v>
      </c>
      <c r="C22" s="581" t="s">
        <v>480</v>
      </c>
      <c r="D22" s="582"/>
      <c r="E22" s="574"/>
      <c r="F22" s="574"/>
      <c r="G22" s="574"/>
      <c r="H22" s="574"/>
      <c r="I22" s="574"/>
      <c r="J22" s="574"/>
      <c r="K22" s="574"/>
      <c r="L22" s="574"/>
      <c r="M22" s="574"/>
      <c r="N22" s="574"/>
      <c r="O22" s="574"/>
      <c r="P22" s="574"/>
      <c r="Q22" s="574"/>
      <c r="R22" s="574"/>
      <c r="S22" s="574"/>
      <c r="T22" s="574"/>
      <c r="U22" s="574"/>
      <c r="V22" s="574"/>
      <c r="W22" s="574"/>
    </row>
    <row r="23" ht="15.75" customHeight="1">
      <c r="A23" s="578" t="s">
        <v>458</v>
      </c>
      <c r="B23" s="580" t="s">
        <v>481</v>
      </c>
      <c r="C23" s="581" t="s">
        <v>482</v>
      </c>
      <c r="D23" s="582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4"/>
      <c r="S23" s="574"/>
      <c r="T23" s="574"/>
      <c r="U23" s="574"/>
      <c r="V23" s="574"/>
      <c r="W23" s="574"/>
    </row>
    <row r="24" ht="15.75" customHeight="1">
      <c r="A24" s="578" t="s">
        <v>458</v>
      </c>
      <c r="B24" s="580" t="s">
        <v>484</v>
      </c>
      <c r="C24" s="581" t="s">
        <v>485</v>
      </c>
      <c r="D24" s="582"/>
      <c r="E24" s="574"/>
      <c r="F24" s="574"/>
      <c r="G24" s="574"/>
      <c r="H24" s="574"/>
      <c r="I24" s="574"/>
      <c r="J24" s="574"/>
      <c r="K24" s="574"/>
      <c r="L24" s="574"/>
      <c r="M24" s="574"/>
      <c r="N24" s="574"/>
      <c r="O24" s="574"/>
      <c r="P24" s="574"/>
      <c r="Q24" s="574"/>
      <c r="R24" s="574"/>
      <c r="S24" s="574"/>
      <c r="T24" s="574"/>
      <c r="U24" s="574"/>
      <c r="V24" s="574"/>
      <c r="W24" s="574"/>
    </row>
    <row r="25" ht="15.75" customHeight="1">
      <c r="A25" s="578" t="s">
        <v>458</v>
      </c>
      <c r="B25" s="580" t="s">
        <v>487</v>
      </c>
      <c r="C25" s="581" t="s">
        <v>488</v>
      </c>
      <c r="D25" s="582"/>
      <c r="E25" s="574"/>
      <c r="F25" s="574"/>
      <c r="G25" s="574"/>
      <c r="H25" s="574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</row>
    <row r="26" ht="30.0" customHeight="1">
      <c r="A26" s="578" t="s">
        <v>458</v>
      </c>
      <c r="B26" s="580" t="s">
        <v>367</v>
      </c>
      <c r="C26" s="581" t="s">
        <v>489</v>
      </c>
      <c r="D26" s="582"/>
      <c r="E26" s="574"/>
      <c r="F26" s="574"/>
      <c r="G26" s="574"/>
      <c r="H26" s="574"/>
      <c r="I26" s="574"/>
      <c r="J26" s="574"/>
      <c r="K26" s="574"/>
      <c r="L26" s="574"/>
      <c r="M26" s="574"/>
      <c r="N26" s="574"/>
      <c r="O26" s="574"/>
      <c r="P26" s="574"/>
      <c r="Q26" s="574"/>
      <c r="R26" s="574"/>
      <c r="S26" s="574"/>
      <c r="T26" s="574"/>
      <c r="U26" s="574"/>
      <c r="V26" s="574"/>
      <c r="W26" s="574"/>
    </row>
    <row r="27" ht="30.0" customHeight="1">
      <c r="A27" s="578" t="s">
        <v>491</v>
      </c>
      <c r="B27" s="580" t="s">
        <v>491</v>
      </c>
      <c r="C27" s="581" t="s">
        <v>492</v>
      </c>
      <c r="D27" s="582"/>
      <c r="E27" s="574"/>
      <c r="F27" s="574"/>
      <c r="G27" s="574"/>
      <c r="H27" s="574"/>
      <c r="I27" s="574"/>
      <c r="J27" s="574"/>
      <c r="K27" s="574"/>
      <c r="L27" s="574"/>
      <c r="M27" s="574"/>
      <c r="N27" s="574"/>
      <c r="O27" s="574"/>
      <c r="P27" s="574"/>
      <c r="Q27" s="574"/>
      <c r="R27" s="574"/>
      <c r="S27" s="574"/>
      <c r="T27" s="574"/>
      <c r="U27" s="574"/>
      <c r="V27" s="574"/>
      <c r="W27" s="574"/>
    </row>
    <row r="28" ht="30.0" customHeight="1">
      <c r="A28" s="578" t="s">
        <v>491</v>
      </c>
      <c r="B28" s="580" t="s">
        <v>11</v>
      </c>
      <c r="C28" s="627" t="s">
        <v>494</v>
      </c>
      <c r="D28" s="582"/>
      <c r="E28" s="574"/>
      <c r="F28" s="574"/>
      <c r="G28" s="574"/>
      <c r="H28" s="574"/>
      <c r="I28" s="574"/>
      <c r="J28" s="574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</row>
    <row r="29" ht="30.0" customHeight="1">
      <c r="A29" s="578" t="s">
        <v>491</v>
      </c>
      <c r="B29" s="580" t="s">
        <v>497</v>
      </c>
      <c r="C29" s="581" t="s">
        <v>498</v>
      </c>
      <c r="D29" s="582"/>
      <c r="E29" s="574"/>
      <c r="F29" s="574"/>
      <c r="G29" s="574"/>
      <c r="H29" s="574"/>
      <c r="I29" s="574"/>
      <c r="J29" s="574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</row>
    <row r="30" ht="30.0" customHeight="1">
      <c r="A30" s="578" t="s">
        <v>491</v>
      </c>
      <c r="B30" s="602" t="s">
        <v>499</v>
      </c>
      <c r="C30" s="581" t="s">
        <v>501</v>
      </c>
      <c r="D30" s="582"/>
      <c r="E30" s="574"/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4"/>
      <c r="S30" s="574"/>
      <c r="T30" s="574"/>
      <c r="U30" s="574"/>
      <c r="V30" s="574"/>
      <c r="W30" s="574"/>
    </row>
    <row r="31" ht="30.0" customHeight="1">
      <c r="A31" s="578" t="s">
        <v>491</v>
      </c>
      <c r="B31" s="602" t="s">
        <v>503</v>
      </c>
      <c r="C31" s="581" t="s">
        <v>504</v>
      </c>
      <c r="D31" s="582"/>
      <c r="E31" s="581"/>
      <c r="F31" s="581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Q31" s="574"/>
      <c r="R31" s="574"/>
      <c r="S31" s="574"/>
      <c r="T31" s="574"/>
      <c r="U31" s="574"/>
      <c r="V31" s="574"/>
      <c r="W31" s="574"/>
    </row>
    <row r="32" ht="30.0" customHeight="1">
      <c r="A32" s="578" t="s">
        <v>491</v>
      </c>
      <c r="B32" s="580" t="s">
        <v>506</v>
      </c>
      <c r="C32" s="581" t="s">
        <v>507</v>
      </c>
      <c r="D32" s="582"/>
      <c r="E32" s="574"/>
      <c r="F32" s="574"/>
      <c r="G32" s="574"/>
      <c r="H32" s="574"/>
      <c r="I32" s="574"/>
      <c r="J32" s="574"/>
      <c r="K32" s="574"/>
      <c r="L32" s="574"/>
      <c r="M32" s="574"/>
      <c r="N32" s="574"/>
      <c r="O32" s="574"/>
      <c r="P32" s="574"/>
      <c r="Q32" s="574"/>
      <c r="R32" s="574"/>
      <c r="S32" s="574"/>
      <c r="T32" s="574"/>
      <c r="U32" s="574"/>
      <c r="V32" s="574"/>
      <c r="W32" s="574"/>
    </row>
    <row r="33" ht="30.0" customHeight="1">
      <c r="A33" s="578" t="s">
        <v>491</v>
      </c>
      <c r="B33" s="580" t="s">
        <v>171</v>
      </c>
      <c r="C33" s="581" t="s">
        <v>509</v>
      </c>
      <c r="D33" s="582"/>
      <c r="E33" s="574"/>
      <c r="F33" s="574"/>
      <c r="G33" s="574"/>
      <c r="H33" s="574"/>
      <c r="I33" s="574"/>
      <c r="J33" s="574"/>
      <c r="K33" s="574"/>
      <c r="L33" s="574"/>
      <c r="M33" s="574"/>
      <c r="N33" s="574"/>
      <c r="O33" s="574"/>
      <c r="P33" s="574"/>
      <c r="Q33" s="574"/>
      <c r="R33" s="574"/>
      <c r="S33" s="574"/>
      <c r="T33" s="574"/>
      <c r="U33" s="574"/>
      <c r="V33" s="574"/>
      <c r="W33" s="574"/>
    </row>
    <row r="34" ht="15.75" customHeight="1">
      <c r="A34" s="578" t="s">
        <v>16</v>
      </c>
      <c r="B34" s="582" t="s">
        <v>16</v>
      </c>
      <c r="C34" s="581" t="s">
        <v>511</v>
      </c>
      <c r="D34" s="582"/>
      <c r="E34" s="574"/>
      <c r="F34" s="574"/>
      <c r="G34" s="574"/>
      <c r="H34" s="574"/>
      <c r="I34" s="574"/>
      <c r="J34" s="574"/>
      <c r="K34" s="574"/>
      <c r="L34" s="574"/>
      <c r="M34" s="574"/>
      <c r="N34" s="574"/>
      <c r="O34" s="574"/>
      <c r="P34" s="574"/>
      <c r="Q34" s="574"/>
      <c r="R34" s="574"/>
      <c r="S34" s="574"/>
      <c r="T34" s="574"/>
      <c r="U34" s="574"/>
      <c r="V34" s="574"/>
      <c r="W34" s="574"/>
    </row>
    <row r="35" ht="30.0" customHeight="1">
      <c r="A35" s="578" t="s">
        <v>16</v>
      </c>
      <c r="B35" s="580" t="s">
        <v>196</v>
      </c>
      <c r="C35" s="581" t="s">
        <v>513</v>
      </c>
      <c r="D35" s="582"/>
      <c r="E35" s="574"/>
      <c r="F35" s="574"/>
      <c r="G35" s="574"/>
      <c r="H35" s="574"/>
      <c r="I35" s="574"/>
      <c r="J35" s="574"/>
      <c r="K35" s="574"/>
      <c r="L35" s="574"/>
      <c r="M35" s="574"/>
      <c r="N35" s="574"/>
      <c r="O35" s="574"/>
      <c r="P35" s="574"/>
      <c r="Q35" s="574"/>
      <c r="R35" s="574"/>
      <c r="S35" s="574"/>
      <c r="T35" s="574"/>
      <c r="U35" s="574"/>
      <c r="V35" s="574"/>
      <c r="W35" s="574"/>
    </row>
    <row r="36" ht="15.75" customHeight="1">
      <c r="A36" s="578" t="s">
        <v>16</v>
      </c>
      <c r="B36" s="580" t="s">
        <v>516</v>
      </c>
      <c r="C36" s="581" t="s">
        <v>517</v>
      </c>
      <c r="D36" s="582"/>
      <c r="E36" s="574"/>
      <c r="F36" s="574"/>
      <c r="G36" s="574"/>
      <c r="H36" s="574"/>
      <c r="I36" s="574"/>
      <c r="J36" s="574"/>
      <c r="K36" s="574"/>
      <c r="L36" s="574"/>
      <c r="M36" s="574"/>
      <c r="N36" s="574"/>
      <c r="O36" s="574"/>
      <c r="P36" s="574"/>
      <c r="Q36" s="574"/>
      <c r="R36" s="574"/>
      <c r="S36" s="574"/>
      <c r="T36" s="574"/>
      <c r="U36" s="574"/>
      <c r="V36" s="574"/>
      <c r="W36" s="574"/>
    </row>
    <row r="37" ht="30.0" customHeight="1">
      <c r="A37" s="578" t="s">
        <v>16</v>
      </c>
      <c r="B37" s="580" t="s">
        <v>31</v>
      </c>
      <c r="C37" s="581" t="s">
        <v>519</v>
      </c>
      <c r="D37" s="582"/>
      <c r="E37" s="574"/>
      <c r="F37" s="574"/>
      <c r="G37" s="574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</row>
    <row r="38" ht="15.75" customHeight="1">
      <c r="A38" s="578" t="s">
        <v>520</v>
      </c>
      <c r="B38" s="582" t="s">
        <v>17</v>
      </c>
      <c r="C38" s="581" t="s">
        <v>522</v>
      </c>
      <c r="D38" s="582"/>
      <c r="E38" s="574"/>
      <c r="F38" s="574"/>
      <c r="G38" s="574"/>
      <c r="H38" s="574"/>
      <c r="I38" s="574"/>
      <c r="J38" s="574"/>
      <c r="K38" s="574"/>
      <c r="L38" s="574"/>
      <c r="M38" s="574"/>
      <c r="N38" s="574"/>
      <c r="O38" s="574"/>
      <c r="P38" s="574"/>
      <c r="Q38" s="574"/>
      <c r="R38" s="574"/>
      <c r="S38" s="574"/>
      <c r="T38" s="574"/>
      <c r="U38" s="574"/>
      <c r="V38" s="574"/>
      <c r="W38" s="574"/>
    </row>
    <row r="39" ht="30.0" customHeight="1">
      <c r="A39" s="578" t="s">
        <v>520</v>
      </c>
      <c r="B39" s="580" t="s">
        <v>196</v>
      </c>
      <c r="C39" s="581" t="s">
        <v>513</v>
      </c>
      <c r="D39" s="582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</row>
    <row r="40" ht="15.75" customHeight="1">
      <c r="A40" s="578" t="s">
        <v>520</v>
      </c>
      <c r="B40" s="580" t="s">
        <v>32</v>
      </c>
      <c r="C40" s="581" t="s">
        <v>524</v>
      </c>
      <c r="D40" s="582"/>
      <c r="E40" s="574"/>
      <c r="F40" s="574"/>
      <c r="G40" s="574"/>
      <c r="H40" s="574"/>
      <c r="I40" s="574"/>
      <c r="J40" s="574"/>
      <c r="K40" s="574"/>
      <c r="L40" s="574"/>
      <c r="M40" s="574"/>
      <c r="N40" s="574"/>
      <c r="O40" s="574"/>
      <c r="P40" s="574"/>
      <c r="Q40" s="574"/>
      <c r="R40" s="574"/>
      <c r="S40" s="574"/>
      <c r="T40" s="574"/>
      <c r="U40" s="574"/>
      <c r="V40" s="574"/>
      <c r="W40" s="574"/>
    </row>
    <row r="41" ht="15.75" customHeight="1">
      <c r="A41" s="578" t="s">
        <v>520</v>
      </c>
      <c r="B41" s="580" t="s">
        <v>34</v>
      </c>
      <c r="C41" s="581" t="s">
        <v>526</v>
      </c>
      <c r="D41" s="582"/>
      <c r="E41" s="574"/>
      <c r="F41" s="574"/>
      <c r="G41" s="574"/>
      <c r="H41" s="574"/>
      <c r="I41" s="574"/>
      <c r="J41" s="574"/>
      <c r="K41" s="574"/>
      <c r="L41" s="574"/>
      <c r="M41" s="574"/>
      <c r="N41" s="574"/>
      <c r="O41" s="574"/>
      <c r="P41" s="574"/>
      <c r="Q41" s="574"/>
      <c r="R41" s="574"/>
      <c r="S41" s="574"/>
      <c r="T41" s="574"/>
      <c r="U41" s="574"/>
      <c r="V41" s="574"/>
      <c r="W41" s="574"/>
    </row>
    <row r="42" ht="30.0" customHeight="1">
      <c r="A42" s="578" t="s">
        <v>520</v>
      </c>
      <c r="B42" s="580" t="s">
        <v>528</v>
      </c>
      <c r="C42" s="581" t="s">
        <v>529</v>
      </c>
      <c r="D42" s="582"/>
      <c r="E42" s="574"/>
      <c r="F42" s="574"/>
      <c r="G42" s="574"/>
      <c r="H42" s="574"/>
      <c r="I42" s="574"/>
      <c r="J42" s="574"/>
      <c r="K42" s="574"/>
      <c r="L42" s="574"/>
      <c r="M42" s="574"/>
      <c r="N42" s="574"/>
      <c r="O42" s="574"/>
      <c r="P42" s="574"/>
      <c r="Q42" s="574"/>
      <c r="R42" s="574"/>
      <c r="S42" s="574"/>
      <c r="T42" s="574"/>
      <c r="U42" s="574"/>
      <c r="V42" s="574"/>
      <c r="W42" s="574"/>
    </row>
    <row r="43" ht="45.0" customHeight="1">
      <c r="A43" s="578" t="s">
        <v>520</v>
      </c>
      <c r="B43" s="580" t="s">
        <v>36</v>
      </c>
      <c r="C43" s="581" t="s">
        <v>530</v>
      </c>
      <c r="D43" s="582"/>
      <c r="E43" s="574"/>
      <c r="F43" s="574"/>
      <c r="G43" s="574"/>
      <c r="H43" s="574"/>
      <c r="I43" s="574"/>
      <c r="J43" s="574"/>
      <c r="K43" s="574"/>
      <c r="L43" s="574"/>
      <c r="M43" s="574"/>
      <c r="N43" s="574"/>
      <c r="O43" s="574"/>
      <c r="P43" s="574"/>
      <c r="Q43" s="574"/>
      <c r="R43" s="574"/>
      <c r="S43" s="574"/>
      <c r="T43" s="574"/>
      <c r="U43" s="574"/>
      <c r="V43" s="574"/>
      <c r="W43" s="574"/>
    </row>
    <row r="44" ht="30.0" customHeight="1">
      <c r="A44" s="578" t="s">
        <v>520</v>
      </c>
      <c r="B44" s="580" t="s">
        <v>19</v>
      </c>
      <c r="C44" s="581" t="s">
        <v>532</v>
      </c>
      <c r="D44" s="582"/>
      <c r="E44" s="574"/>
      <c r="F44" s="574"/>
      <c r="G44" s="574"/>
      <c r="H44" s="574"/>
      <c r="I44" s="574"/>
      <c r="J44" s="574"/>
      <c r="K44" s="574"/>
      <c r="L44" s="574"/>
      <c r="M44" s="574"/>
      <c r="N44" s="574"/>
      <c r="O44" s="574"/>
      <c r="P44" s="574"/>
      <c r="Q44" s="574"/>
      <c r="R44" s="574"/>
      <c r="S44" s="574"/>
      <c r="T44" s="574"/>
      <c r="U44" s="574"/>
      <c r="V44" s="574"/>
      <c r="W44" s="574"/>
    </row>
    <row r="45" ht="15.75" customHeight="1">
      <c r="A45" s="578" t="s">
        <v>520</v>
      </c>
      <c r="B45" s="580" t="s">
        <v>20</v>
      </c>
      <c r="C45" s="581" t="s">
        <v>534</v>
      </c>
      <c r="D45" s="582"/>
      <c r="E45" s="574"/>
      <c r="F45" s="574"/>
      <c r="G45" s="574"/>
      <c r="H45" s="574"/>
      <c r="I45" s="574"/>
      <c r="J45" s="574"/>
      <c r="K45" s="574"/>
      <c r="L45" s="574"/>
      <c r="M45" s="574"/>
      <c r="N45" s="574"/>
      <c r="O45" s="574"/>
      <c r="P45" s="574"/>
      <c r="Q45" s="574"/>
      <c r="R45" s="574"/>
      <c r="S45" s="574"/>
      <c r="T45" s="574"/>
      <c r="U45" s="574"/>
      <c r="V45" s="574"/>
      <c r="W45" s="574"/>
    </row>
    <row r="46" ht="30.0" customHeight="1">
      <c r="A46" s="578" t="s">
        <v>520</v>
      </c>
      <c r="B46" s="580" t="s">
        <v>21</v>
      </c>
      <c r="C46" s="581" t="s">
        <v>535</v>
      </c>
      <c r="D46" s="582"/>
      <c r="E46" s="574"/>
      <c r="F46" s="574"/>
      <c r="G46" s="574"/>
      <c r="H46" s="574"/>
      <c r="I46" s="574"/>
      <c r="J46" s="574"/>
      <c r="K46" s="574"/>
      <c r="L46" s="574"/>
      <c r="M46" s="574"/>
      <c r="N46" s="574"/>
      <c r="O46" s="574"/>
      <c r="P46" s="574"/>
      <c r="Q46" s="574"/>
      <c r="R46" s="574"/>
      <c r="S46" s="574"/>
      <c r="T46" s="574"/>
      <c r="U46" s="574"/>
      <c r="V46" s="574"/>
      <c r="W46" s="574"/>
    </row>
    <row r="47" ht="15.75" customHeight="1">
      <c r="A47" s="578" t="s">
        <v>537</v>
      </c>
      <c r="B47" s="580" t="s">
        <v>537</v>
      </c>
      <c r="C47" s="581" t="s">
        <v>538</v>
      </c>
      <c r="D47" s="582"/>
      <c r="E47" s="574"/>
      <c r="F47" s="574"/>
      <c r="G47" s="574"/>
      <c r="H47" s="574"/>
      <c r="I47" s="574"/>
      <c r="J47" s="574"/>
      <c r="K47" s="574"/>
      <c r="L47" s="574"/>
      <c r="M47" s="574"/>
      <c r="N47" s="574"/>
      <c r="O47" s="574"/>
      <c r="P47" s="574"/>
      <c r="Q47" s="574"/>
      <c r="R47" s="574"/>
      <c r="S47" s="574"/>
      <c r="T47" s="574"/>
      <c r="U47" s="574"/>
      <c r="V47" s="574"/>
      <c r="W47" s="574"/>
    </row>
    <row r="48" ht="30.0" customHeight="1">
      <c r="A48" s="578" t="s">
        <v>537</v>
      </c>
      <c r="B48" s="580" t="s">
        <v>349</v>
      </c>
      <c r="C48" s="581" t="s">
        <v>448</v>
      </c>
      <c r="D48" s="582"/>
      <c r="E48" s="574"/>
      <c r="F48" s="574"/>
      <c r="G48" s="574"/>
      <c r="H48" s="574"/>
      <c r="I48" s="574"/>
      <c r="J48" s="574"/>
      <c r="K48" s="574"/>
      <c r="L48" s="574"/>
      <c r="M48" s="574"/>
      <c r="N48" s="574"/>
      <c r="O48" s="574"/>
      <c r="P48" s="574"/>
      <c r="Q48" s="574"/>
      <c r="R48" s="574"/>
      <c r="S48" s="574"/>
      <c r="T48" s="574"/>
      <c r="U48" s="574"/>
      <c r="V48" s="574"/>
      <c r="W48" s="574"/>
    </row>
    <row r="49" ht="15.75" customHeight="1">
      <c r="A49" s="578" t="s">
        <v>537</v>
      </c>
      <c r="B49" s="580" t="s">
        <v>7</v>
      </c>
      <c r="C49" s="581" t="s">
        <v>541</v>
      </c>
      <c r="D49" s="582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4"/>
      <c r="P49" s="574"/>
      <c r="Q49" s="574"/>
      <c r="R49" s="574"/>
      <c r="S49" s="574"/>
      <c r="T49" s="574"/>
      <c r="U49" s="574"/>
      <c r="V49" s="574"/>
      <c r="W49" s="574"/>
    </row>
    <row r="50" ht="30.0" customHeight="1">
      <c r="A50" s="578" t="s">
        <v>537</v>
      </c>
      <c r="B50" s="580" t="s">
        <v>351</v>
      </c>
      <c r="C50" s="581" t="s">
        <v>543</v>
      </c>
      <c r="D50" s="582"/>
      <c r="E50" s="574"/>
      <c r="F50" s="574"/>
      <c r="G50" s="574"/>
      <c r="H50" s="574"/>
      <c r="I50" s="574"/>
      <c r="J50" s="574"/>
      <c r="K50" s="574"/>
      <c r="L50" s="574"/>
      <c r="M50" s="574"/>
      <c r="N50" s="574"/>
      <c r="O50" s="574"/>
      <c r="P50" s="574"/>
      <c r="Q50" s="574"/>
      <c r="R50" s="574"/>
      <c r="S50" s="574"/>
      <c r="T50" s="574"/>
      <c r="U50" s="574"/>
      <c r="V50" s="574"/>
      <c r="W50" s="574"/>
    </row>
    <row r="51" ht="30.0" customHeight="1">
      <c r="A51" s="578" t="s">
        <v>537</v>
      </c>
      <c r="B51" s="580" t="s">
        <v>376</v>
      </c>
      <c r="C51" s="581" t="s">
        <v>545</v>
      </c>
      <c r="D51" s="582"/>
      <c r="E51" s="574"/>
      <c r="F51" s="574"/>
      <c r="G51" s="574"/>
      <c r="H51" s="574"/>
      <c r="I51" s="574"/>
      <c r="J51" s="574"/>
      <c r="K51" s="574"/>
      <c r="L51" s="574"/>
      <c r="M51" s="574"/>
      <c r="N51" s="574"/>
      <c r="O51" s="574"/>
      <c r="P51" s="574"/>
      <c r="Q51" s="574"/>
      <c r="R51" s="574"/>
      <c r="S51" s="574"/>
      <c r="T51" s="574"/>
      <c r="U51" s="574"/>
      <c r="V51" s="574"/>
      <c r="W51" s="574"/>
    </row>
    <row r="52" ht="30.0" customHeight="1">
      <c r="A52" s="578" t="s">
        <v>537</v>
      </c>
      <c r="B52" s="580" t="s">
        <v>123</v>
      </c>
      <c r="C52" s="581" t="s">
        <v>547</v>
      </c>
      <c r="D52" s="582"/>
      <c r="E52" s="574"/>
      <c r="F52" s="574"/>
      <c r="G52" s="574"/>
      <c r="H52" s="574"/>
      <c r="I52" s="574"/>
      <c r="J52" s="574"/>
      <c r="K52" s="574"/>
      <c r="L52" s="574"/>
      <c r="M52" s="574"/>
      <c r="N52" s="574"/>
      <c r="O52" s="574"/>
      <c r="P52" s="574"/>
      <c r="Q52" s="574"/>
      <c r="R52" s="574"/>
      <c r="S52" s="574"/>
      <c r="T52" s="574"/>
      <c r="U52" s="574"/>
      <c r="V52" s="574"/>
      <c r="W52" s="574"/>
    </row>
    <row r="53" ht="15.75" customHeight="1">
      <c r="A53" s="578" t="s">
        <v>537</v>
      </c>
      <c r="B53" s="580" t="s">
        <v>377</v>
      </c>
      <c r="C53" s="581" t="s">
        <v>550</v>
      </c>
      <c r="D53" s="582"/>
      <c r="E53" s="574"/>
      <c r="F53" s="574"/>
      <c r="G53" s="574"/>
      <c r="H53" s="574"/>
      <c r="I53" s="574"/>
      <c r="J53" s="574"/>
      <c r="K53" s="574"/>
      <c r="L53" s="574"/>
      <c r="M53" s="574"/>
      <c r="N53" s="574"/>
      <c r="O53" s="574"/>
      <c r="P53" s="574"/>
      <c r="Q53" s="574"/>
      <c r="R53" s="574"/>
      <c r="S53" s="574"/>
      <c r="T53" s="574"/>
      <c r="U53" s="574"/>
      <c r="V53" s="574"/>
      <c r="W53" s="574"/>
    </row>
    <row r="54" ht="15.75" customHeight="1">
      <c r="A54" s="578" t="s">
        <v>537</v>
      </c>
      <c r="B54" s="580" t="s">
        <v>378</v>
      </c>
      <c r="C54" s="581" t="s">
        <v>551</v>
      </c>
      <c r="D54" s="582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574"/>
      <c r="R54" s="574"/>
      <c r="S54" s="574"/>
      <c r="T54" s="574"/>
      <c r="U54" s="574"/>
      <c r="V54" s="574"/>
      <c r="W54" s="574"/>
    </row>
    <row r="55" ht="15.75" customHeight="1">
      <c r="A55" s="578" t="s">
        <v>537</v>
      </c>
      <c r="B55" s="580" t="s">
        <v>553</v>
      </c>
      <c r="C55" s="581" t="s">
        <v>554</v>
      </c>
      <c r="D55" s="582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4"/>
      <c r="R55" s="574"/>
      <c r="S55" s="574"/>
      <c r="T55" s="574"/>
      <c r="U55" s="574"/>
      <c r="V55" s="574"/>
      <c r="W55" s="574"/>
    </row>
    <row r="56" ht="15.75" customHeight="1">
      <c r="A56" s="578" t="s">
        <v>556</v>
      </c>
      <c r="B56" s="580" t="s">
        <v>556</v>
      </c>
      <c r="C56" s="581" t="s">
        <v>557</v>
      </c>
      <c r="D56" s="582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4"/>
      <c r="R56" s="574"/>
      <c r="S56" s="574"/>
      <c r="T56" s="574"/>
      <c r="U56" s="574"/>
      <c r="V56" s="574"/>
      <c r="W56" s="574"/>
    </row>
    <row r="57" ht="15.75" customHeight="1">
      <c r="A57" s="578" t="s">
        <v>556</v>
      </c>
      <c r="B57" s="580" t="s">
        <v>385</v>
      </c>
      <c r="C57" s="581" t="s">
        <v>560</v>
      </c>
      <c r="D57" s="582"/>
      <c r="E57" s="574"/>
      <c r="F57" s="574"/>
      <c r="G57" s="574"/>
      <c r="H57" s="574"/>
      <c r="I57" s="574"/>
      <c r="J57" s="574"/>
      <c r="K57" s="574"/>
      <c r="L57" s="574"/>
      <c r="M57" s="574"/>
      <c r="N57" s="574"/>
      <c r="O57" s="574"/>
      <c r="P57" s="574"/>
      <c r="Q57" s="574"/>
      <c r="R57" s="574"/>
      <c r="S57" s="574"/>
      <c r="T57" s="574"/>
      <c r="U57" s="574"/>
      <c r="V57" s="574"/>
      <c r="W57" s="574"/>
    </row>
    <row r="58" ht="30.0" customHeight="1">
      <c r="A58" s="578" t="s">
        <v>556</v>
      </c>
      <c r="B58" s="580" t="s">
        <v>561</v>
      </c>
      <c r="C58" s="581" t="s">
        <v>562</v>
      </c>
      <c r="D58" s="582"/>
      <c r="E58" s="574"/>
      <c r="F58" s="574"/>
      <c r="G58" s="574"/>
      <c r="H58" s="574"/>
      <c r="I58" s="574"/>
      <c r="J58" s="574"/>
      <c r="K58" s="574"/>
      <c r="L58" s="574"/>
      <c r="M58" s="574"/>
      <c r="N58" s="574"/>
      <c r="O58" s="574"/>
      <c r="P58" s="574"/>
      <c r="Q58" s="574"/>
      <c r="R58" s="574"/>
      <c r="S58" s="574"/>
      <c r="T58" s="574"/>
      <c r="U58" s="574"/>
      <c r="V58" s="574"/>
      <c r="W58" s="574"/>
    </row>
    <row r="59" ht="15.75" customHeight="1">
      <c r="A59" s="578" t="s">
        <v>556</v>
      </c>
      <c r="B59" s="580" t="s">
        <v>384</v>
      </c>
      <c r="C59" s="581" t="s">
        <v>564</v>
      </c>
      <c r="D59" s="582"/>
      <c r="E59" s="574"/>
      <c r="F59" s="574"/>
      <c r="G59" s="574"/>
      <c r="H59" s="574"/>
      <c r="I59" s="574"/>
      <c r="J59" s="574"/>
      <c r="K59" s="574"/>
      <c r="L59" s="574"/>
      <c r="M59" s="574"/>
      <c r="N59" s="574"/>
      <c r="O59" s="574"/>
      <c r="P59" s="574"/>
      <c r="Q59" s="574"/>
      <c r="R59" s="574"/>
      <c r="S59" s="574"/>
      <c r="T59" s="574"/>
      <c r="U59" s="574"/>
      <c r="V59" s="574"/>
      <c r="W59" s="574"/>
    </row>
    <row r="60" ht="30.0" customHeight="1">
      <c r="A60" s="578" t="s">
        <v>556</v>
      </c>
      <c r="B60" s="602" t="s">
        <v>386</v>
      </c>
      <c r="C60" s="581" t="s">
        <v>566</v>
      </c>
      <c r="D60" s="582"/>
      <c r="E60" s="574"/>
      <c r="F60" s="574"/>
      <c r="G60" s="574"/>
      <c r="H60" s="574"/>
      <c r="I60" s="574"/>
      <c r="J60" s="574"/>
      <c r="K60" s="574"/>
      <c r="L60" s="574"/>
      <c r="M60" s="574"/>
      <c r="N60" s="574"/>
      <c r="O60" s="574"/>
      <c r="P60" s="574"/>
      <c r="Q60" s="574"/>
      <c r="R60" s="574"/>
      <c r="S60" s="574"/>
      <c r="T60" s="574"/>
      <c r="U60" s="574"/>
      <c r="V60" s="574"/>
      <c r="W60" s="574"/>
    </row>
    <row r="61" ht="30.0" customHeight="1">
      <c r="A61" s="578" t="s">
        <v>556</v>
      </c>
      <c r="B61" s="602" t="s">
        <v>570</v>
      </c>
      <c r="C61" s="581" t="s">
        <v>571</v>
      </c>
      <c r="D61" s="582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</row>
    <row r="62" ht="15.75" customHeight="1">
      <c r="A62" s="578"/>
      <c r="B62" s="658"/>
      <c r="C62" s="581"/>
      <c r="D62" s="582"/>
      <c r="E62" s="574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</row>
    <row r="63" ht="15.75" customHeight="1">
      <c r="A63" s="578"/>
      <c r="B63" s="580"/>
      <c r="C63" s="581"/>
      <c r="D63" s="582"/>
      <c r="E63" s="574"/>
      <c r="F63" s="574"/>
      <c r="G63" s="574"/>
      <c r="H63" s="574"/>
      <c r="I63" s="574"/>
      <c r="J63" s="574"/>
      <c r="K63" s="574"/>
      <c r="L63" s="574"/>
      <c r="M63" s="574"/>
      <c r="N63" s="574"/>
      <c r="O63" s="574"/>
      <c r="P63" s="574"/>
      <c r="Q63" s="574"/>
      <c r="R63" s="574"/>
      <c r="S63" s="574"/>
      <c r="T63" s="574"/>
      <c r="U63" s="574"/>
      <c r="V63" s="574"/>
      <c r="W63" s="574"/>
    </row>
    <row r="64" ht="15.75" customHeight="1">
      <c r="A64" s="578"/>
      <c r="B64" s="580"/>
      <c r="C64" s="581"/>
      <c r="D64" s="582"/>
      <c r="E64" s="574"/>
      <c r="F64" s="574"/>
      <c r="G64" s="574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</row>
    <row r="65" ht="15.75" customHeight="1">
      <c r="A65" s="578"/>
      <c r="B65" s="580"/>
      <c r="C65" s="581"/>
      <c r="D65" s="582"/>
      <c r="E65" s="574"/>
      <c r="F65" s="574"/>
      <c r="G65" s="574"/>
      <c r="H65" s="574"/>
      <c r="I65" s="574"/>
      <c r="J65" s="574"/>
      <c r="K65" s="574"/>
      <c r="L65" s="574"/>
      <c r="M65" s="574"/>
      <c r="N65" s="574"/>
      <c r="O65" s="574"/>
      <c r="P65" s="574"/>
      <c r="Q65" s="574"/>
      <c r="R65" s="574"/>
      <c r="S65" s="574"/>
      <c r="T65" s="574"/>
      <c r="U65" s="574"/>
      <c r="V65" s="574"/>
      <c r="W65" s="574"/>
    </row>
    <row r="66" ht="15.75" customHeight="1">
      <c r="A66" s="578"/>
      <c r="B66" s="580"/>
      <c r="C66" s="581"/>
      <c r="D66" s="582"/>
      <c r="E66" s="574"/>
      <c r="F66" s="574"/>
      <c r="G66" s="574"/>
      <c r="H66" s="574"/>
      <c r="I66" s="574"/>
      <c r="J66" s="574"/>
      <c r="K66" s="574"/>
      <c r="L66" s="574"/>
      <c r="M66" s="574"/>
      <c r="N66" s="574"/>
      <c r="O66" s="574"/>
      <c r="P66" s="574"/>
      <c r="Q66" s="574"/>
      <c r="R66" s="574"/>
      <c r="S66" s="574"/>
      <c r="T66" s="574"/>
      <c r="U66" s="574"/>
      <c r="V66" s="574"/>
      <c r="W66" s="574"/>
    </row>
    <row r="67" ht="12.0" customHeight="1">
      <c r="A67" s="664"/>
      <c r="B67" s="658"/>
      <c r="C67" s="574"/>
      <c r="D67" s="666"/>
      <c r="E67" s="574"/>
      <c r="F67" s="574"/>
      <c r="G67" s="574"/>
      <c r="H67" s="574"/>
      <c r="I67" s="574"/>
      <c r="J67" s="574"/>
      <c r="K67" s="574"/>
      <c r="L67" s="574"/>
      <c r="M67" s="574"/>
      <c r="N67" s="574"/>
      <c r="O67" s="574"/>
      <c r="P67" s="574"/>
      <c r="Q67" s="574"/>
      <c r="R67" s="574"/>
      <c r="S67" s="574"/>
      <c r="T67" s="574"/>
      <c r="U67" s="574"/>
      <c r="V67" s="574"/>
      <c r="W67" s="574"/>
    </row>
    <row r="68" ht="12.0" customHeight="1">
      <c r="A68" s="664"/>
      <c r="B68" s="658"/>
      <c r="C68" s="574"/>
      <c r="D68" s="666"/>
      <c r="E68" s="574"/>
      <c r="F68" s="574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</row>
    <row r="69" ht="12.0" customHeight="1">
      <c r="A69" s="664"/>
      <c r="B69" s="658"/>
      <c r="C69" s="574"/>
      <c r="D69" s="666"/>
      <c r="E69" s="574"/>
      <c r="F69" s="574"/>
      <c r="G69" s="574"/>
      <c r="H69" s="574"/>
      <c r="I69" s="574"/>
      <c r="J69" s="574"/>
      <c r="K69" s="574"/>
      <c r="L69" s="574"/>
      <c r="M69" s="574"/>
      <c r="N69" s="574"/>
      <c r="O69" s="574"/>
      <c r="P69" s="574"/>
      <c r="Q69" s="574"/>
      <c r="R69" s="574"/>
      <c r="S69" s="574"/>
      <c r="T69" s="574"/>
      <c r="U69" s="574"/>
      <c r="V69" s="574"/>
      <c r="W69" s="574"/>
    </row>
    <row r="70" ht="12.0" customHeight="1">
      <c r="A70" s="664"/>
      <c r="B70" s="658"/>
      <c r="C70" s="574"/>
      <c r="D70" s="666"/>
      <c r="E70" s="574"/>
      <c r="F70" s="574"/>
      <c r="G70" s="574"/>
      <c r="H70" s="574"/>
      <c r="I70" s="574"/>
      <c r="J70" s="574"/>
      <c r="K70" s="574"/>
      <c r="L70" s="574"/>
      <c r="M70" s="574"/>
      <c r="N70" s="574"/>
      <c r="O70" s="574"/>
      <c r="P70" s="574"/>
      <c r="Q70" s="574"/>
      <c r="R70" s="574"/>
      <c r="S70" s="574"/>
      <c r="T70" s="574"/>
      <c r="U70" s="574"/>
      <c r="V70" s="574"/>
      <c r="W70" s="574"/>
    </row>
    <row r="71" ht="12.0" customHeight="1">
      <c r="A71" s="664"/>
      <c r="B71" s="658"/>
      <c r="C71" s="574"/>
      <c r="D71" s="666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4"/>
      <c r="Q71" s="574"/>
      <c r="R71" s="574"/>
      <c r="S71" s="574"/>
      <c r="T71" s="574"/>
      <c r="U71" s="574"/>
      <c r="V71" s="574"/>
      <c r="W71" s="574"/>
    </row>
    <row r="72" ht="12.0" customHeight="1">
      <c r="A72" s="664"/>
      <c r="B72" s="658"/>
      <c r="C72" s="666"/>
      <c r="D72" s="666"/>
      <c r="E72" s="574"/>
      <c r="F72" s="574"/>
      <c r="G72" s="574"/>
      <c r="H72" s="574"/>
      <c r="I72" s="574"/>
      <c r="J72" s="574"/>
      <c r="K72" s="574"/>
      <c r="L72" s="574"/>
      <c r="M72" s="574"/>
      <c r="N72" s="574"/>
      <c r="O72" s="574"/>
      <c r="P72" s="574"/>
      <c r="Q72" s="574"/>
      <c r="R72" s="574"/>
      <c r="S72" s="574"/>
      <c r="T72" s="574"/>
      <c r="U72" s="574"/>
      <c r="V72" s="574"/>
      <c r="W72" s="574"/>
    </row>
    <row r="73" ht="12.0" customHeight="1">
      <c r="A73" s="664"/>
      <c r="B73" s="66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4"/>
      <c r="Q73" s="574"/>
      <c r="R73" s="574"/>
      <c r="S73" s="574"/>
      <c r="T73" s="574"/>
      <c r="U73" s="574"/>
      <c r="V73" s="574"/>
      <c r="W73" s="574"/>
    </row>
    <row r="74" ht="12.0" customHeight="1">
      <c r="A74" s="664"/>
      <c r="B74" s="664"/>
      <c r="C74" s="574"/>
      <c r="D74" s="574"/>
      <c r="E74" s="574"/>
      <c r="F74" s="574"/>
      <c r="G74" s="574"/>
      <c r="H74" s="574"/>
      <c r="I74" s="574"/>
      <c r="J74" s="574"/>
      <c r="K74" s="574"/>
      <c r="L74" s="574"/>
      <c r="M74" s="574"/>
      <c r="N74" s="574"/>
      <c r="O74" s="574"/>
      <c r="P74" s="574"/>
      <c r="Q74" s="574"/>
      <c r="R74" s="574"/>
      <c r="S74" s="574"/>
      <c r="T74" s="574"/>
      <c r="U74" s="574"/>
      <c r="V74" s="574"/>
      <c r="W74" s="574"/>
    </row>
    <row r="75" ht="12.0" customHeight="1">
      <c r="A75" s="664"/>
      <c r="B75" s="66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  <c r="T75" s="574"/>
      <c r="U75" s="574"/>
      <c r="V75" s="574"/>
      <c r="W75" s="574"/>
    </row>
    <row r="76" ht="12.0" customHeight="1">
      <c r="A76" s="664"/>
      <c r="B76" s="664"/>
      <c r="C76" s="574"/>
      <c r="D76" s="574"/>
      <c r="E76" s="574"/>
      <c r="F76" s="574"/>
      <c r="G76" s="574"/>
      <c r="H76" s="574"/>
      <c r="I76" s="574"/>
      <c r="J76" s="574"/>
      <c r="K76" s="574"/>
      <c r="L76" s="574"/>
      <c r="M76" s="574"/>
      <c r="N76" s="574"/>
      <c r="O76" s="574"/>
      <c r="P76" s="574"/>
      <c r="Q76" s="574"/>
      <c r="R76" s="574"/>
      <c r="S76" s="574"/>
      <c r="T76" s="574"/>
      <c r="U76" s="574"/>
      <c r="V76" s="574"/>
      <c r="W76" s="574"/>
    </row>
    <row r="77" ht="12.0" customHeight="1">
      <c r="A77" s="664"/>
      <c r="B77" s="664"/>
      <c r="C77" s="574"/>
      <c r="D77" s="574"/>
      <c r="E77" s="574"/>
      <c r="F77" s="574"/>
      <c r="G77" s="574"/>
      <c r="H77" s="574"/>
      <c r="I77" s="574"/>
      <c r="J77" s="574"/>
      <c r="K77" s="574"/>
      <c r="L77" s="574"/>
      <c r="M77" s="574"/>
      <c r="N77" s="574"/>
      <c r="O77" s="574"/>
      <c r="P77" s="574"/>
      <c r="Q77" s="574"/>
      <c r="R77" s="574"/>
      <c r="S77" s="574"/>
      <c r="T77" s="574"/>
      <c r="U77" s="574"/>
      <c r="V77" s="574"/>
      <c r="W77" s="574"/>
    </row>
    <row r="78" ht="12.0" customHeight="1">
      <c r="A78" s="664"/>
      <c r="B78" s="664"/>
      <c r="C78" s="574"/>
      <c r="D78" s="574"/>
      <c r="E78" s="574"/>
      <c r="F78" s="574"/>
      <c r="G78" s="574"/>
      <c r="H78" s="574"/>
      <c r="I78" s="574"/>
      <c r="J78" s="574"/>
      <c r="K78" s="574"/>
      <c r="L78" s="574"/>
      <c r="M78" s="574"/>
      <c r="N78" s="574"/>
      <c r="O78" s="574"/>
      <c r="P78" s="574"/>
      <c r="Q78" s="574"/>
      <c r="R78" s="574"/>
      <c r="S78" s="574"/>
      <c r="T78" s="574"/>
      <c r="U78" s="574"/>
      <c r="V78" s="574"/>
      <c r="W78" s="574"/>
    </row>
    <row r="79" ht="12.0" customHeight="1">
      <c r="A79" s="664"/>
      <c r="B79" s="664"/>
      <c r="C79" s="574"/>
      <c r="D79" s="574"/>
      <c r="E79" s="574"/>
      <c r="F79" s="574"/>
      <c r="G79" s="574"/>
      <c r="H79" s="574"/>
      <c r="I79" s="574"/>
      <c r="J79" s="574"/>
      <c r="K79" s="574"/>
      <c r="L79" s="574"/>
      <c r="M79" s="574"/>
      <c r="N79" s="574"/>
      <c r="O79" s="574"/>
      <c r="P79" s="574"/>
      <c r="Q79" s="574"/>
      <c r="R79" s="574"/>
      <c r="S79" s="574"/>
      <c r="T79" s="574"/>
      <c r="U79" s="574"/>
      <c r="V79" s="574"/>
      <c r="W79" s="574"/>
    </row>
    <row r="80" ht="12.0" customHeight="1">
      <c r="A80" s="664"/>
      <c r="B80" s="664"/>
      <c r="C80" s="574"/>
      <c r="D80" s="574"/>
      <c r="E80" s="574"/>
      <c r="F80" s="574"/>
      <c r="G80" s="574"/>
      <c r="H80" s="574"/>
      <c r="I80" s="574"/>
      <c r="J80" s="574"/>
      <c r="K80" s="574"/>
      <c r="L80" s="574"/>
      <c r="M80" s="574"/>
      <c r="N80" s="574"/>
      <c r="O80" s="574"/>
      <c r="P80" s="574"/>
      <c r="Q80" s="574"/>
      <c r="R80" s="574"/>
      <c r="S80" s="574"/>
      <c r="T80" s="574"/>
      <c r="U80" s="574"/>
      <c r="V80" s="574"/>
      <c r="W80" s="574"/>
    </row>
    <row r="81" ht="12.0" customHeight="1">
      <c r="A81" s="664"/>
      <c r="B81" s="664"/>
      <c r="C81" s="574"/>
      <c r="D81" s="574"/>
      <c r="E81" s="574"/>
      <c r="F81" s="574"/>
      <c r="G81" s="574"/>
      <c r="H81" s="574"/>
      <c r="I81" s="574"/>
      <c r="J81" s="574"/>
      <c r="K81" s="574"/>
      <c r="L81" s="574"/>
      <c r="M81" s="574"/>
      <c r="N81" s="574"/>
      <c r="O81" s="574"/>
      <c r="P81" s="574"/>
      <c r="Q81" s="574"/>
      <c r="R81" s="574"/>
      <c r="S81" s="574"/>
      <c r="T81" s="574"/>
      <c r="U81" s="574"/>
      <c r="V81" s="574"/>
      <c r="W81" s="574"/>
    </row>
    <row r="82" ht="12.0" customHeight="1">
      <c r="A82" s="664"/>
      <c r="B82" s="664"/>
      <c r="C82" s="574"/>
      <c r="D82" s="574"/>
      <c r="E82" s="574"/>
      <c r="F82" s="574"/>
      <c r="G82" s="574"/>
      <c r="H82" s="574"/>
      <c r="I82" s="574"/>
      <c r="J82" s="574"/>
      <c r="K82" s="574"/>
      <c r="L82" s="574"/>
      <c r="M82" s="574"/>
      <c r="N82" s="574"/>
      <c r="O82" s="574"/>
      <c r="P82" s="574"/>
      <c r="Q82" s="574"/>
      <c r="R82" s="574"/>
      <c r="S82" s="574"/>
      <c r="T82" s="574"/>
      <c r="U82" s="574"/>
      <c r="V82" s="574"/>
      <c r="W82" s="574"/>
    </row>
    <row r="83" ht="12.0" customHeight="1">
      <c r="A83" s="664"/>
      <c r="B83" s="66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4"/>
      <c r="N83" s="574"/>
      <c r="O83" s="574"/>
      <c r="P83" s="574"/>
      <c r="Q83" s="574"/>
      <c r="R83" s="574"/>
      <c r="S83" s="574"/>
      <c r="T83" s="574"/>
      <c r="U83" s="574"/>
      <c r="V83" s="574"/>
      <c r="W83" s="574"/>
    </row>
    <row r="84" ht="12.0" customHeight="1">
      <c r="A84" s="664"/>
      <c r="B84" s="664"/>
      <c r="C84" s="574"/>
      <c r="D84" s="574"/>
      <c r="E84" s="574"/>
      <c r="F84" s="574"/>
      <c r="G84" s="574"/>
      <c r="H84" s="574"/>
      <c r="I84" s="574"/>
      <c r="J84" s="574"/>
      <c r="K84" s="574"/>
      <c r="L84" s="574"/>
      <c r="M84" s="574"/>
      <c r="N84" s="574"/>
      <c r="O84" s="574"/>
      <c r="P84" s="574"/>
      <c r="Q84" s="574"/>
      <c r="R84" s="574"/>
      <c r="S84" s="574"/>
      <c r="T84" s="574"/>
      <c r="U84" s="574"/>
      <c r="V84" s="574"/>
      <c r="W84" s="574"/>
    </row>
    <row r="85" ht="12.0" customHeight="1">
      <c r="A85" s="664"/>
      <c r="B85" s="664"/>
      <c r="C85" s="574"/>
      <c r="D85" s="574"/>
      <c r="E85" s="574"/>
      <c r="F85" s="574"/>
      <c r="G85" s="574"/>
      <c r="H85" s="574"/>
      <c r="I85" s="574"/>
      <c r="J85" s="574"/>
      <c r="K85" s="574"/>
      <c r="L85" s="574"/>
      <c r="M85" s="574"/>
      <c r="N85" s="574"/>
      <c r="O85" s="574"/>
      <c r="P85" s="574"/>
      <c r="Q85" s="574"/>
      <c r="R85" s="574"/>
      <c r="S85" s="574"/>
      <c r="T85" s="574"/>
      <c r="U85" s="574"/>
      <c r="V85" s="574"/>
      <c r="W85" s="574"/>
    </row>
    <row r="86" ht="12.0" customHeight="1">
      <c r="A86" s="664"/>
      <c r="B86" s="664"/>
      <c r="C86" s="574"/>
      <c r="D86" s="574"/>
      <c r="E86" s="574"/>
      <c r="F86" s="574"/>
      <c r="G86" s="574"/>
      <c r="H86" s="574"/>
      <c r="I86" s="574"/>
      <c r="J86" s="574"/>
      <c r="K86" s="574"/>
      <c r="L86" s="574"/>
      <c r="M86" s="574"/>
      <c r="N86" s="574"/>
      <c r="O86" s="574"/>
      <c r="P86" s="574"/>
      <c r="Q86" s="574"/>
      <c r="R86" s="574"/>
      <c r="S86" s="574"/>
      <c r="T86" s="574"/>
      <c r="U86" s="574"/>
      <c r="V86" s="574"/>
      <c r="W86" s="574"/>
    </row>
    <row r="87" ht="12.0" customHeight="1">
      <c r="A87" s="664"/>
      <c r="B87" s="664"/>
      <c r="C87" s="574"/>
      <c r="D87" s="574"/>
      <c r="E87" s="574"/>
      <c r="F87" s="574"/>
      <c r="G87" s="574"/>
      <c r="H87" s="574"/>
      <c r="I87" s="574"/>
      <c r="J87" s="574"/>
      <c r="K87" s="574"/>
      <c r="L87" s="574"/>
      <c r="M87" s="574"/>
      <c r="N87" s="574"/>
      <c r="O87" s="574"/>
      <c r="P87" s="574"/>
      <c r="Q87" s="574"/>
      <c r="R87" s="574"/>
      <c r="S87" s="574"/>
      <c r="T87" s="574"/>
      <c r="U87" s="574"/>
      <c r="V87" s="574"/>
      <c r="W87" s="574"/>
    </row>
    <row r="88" ht="12.0" customHeight="1">
      <c r="A88" s="664"/>
      <c r="B88" s="664"/>
      <c r="C88" s="574"/>
      <c r="D88" s="574"/>
      <c r="E88" s="574"/>
      <c r="F88" s="574"/>
      <c r="G88" s="574"/>
      <c r="H88" s="574"/>
      <c r="I88" s="574"/>
      <c r="J88" s="574"/>
      <c r="K88" s="574"/>
      <c r="L88" s="574"/>
      <c r="M88" s="574"/>
      <c r="N88" s="574"/>
      <c r="O88" s="574"/>
      <c r="P88" s="574"/>
      <c r="Q88" s="574"/>
      <c r="R88" s="574"/>
      <c r="S88" s="574"/>
      <c r="T88" s="574"/>
      <c r="U88" s="574"/>
      <c r="V88" s="574"/>
      <c r="W88" s="574"/>
    </row>
    <row r="89" ht="12.0" customHeight="1">
      <c r="A89" s="664"/>
      <c r="B89" s="664"/>
      <c r="C89" s="574"/>
      <c r="D89" s="574"/>
      <c r="E89" s="574"/>
      <c r="F89" s="574"/>
      <c r="G89" s="574"/>
      <c r="H89" s="574"/>
      <c r="I89" s="574"/>
      <c r="J89" s="574"/>
      <c r="K89" s="574"/>
      <c r="L89" s="574"/>
      <c r="M89" s="574"/>
      <c r="N89" s="574"/>
      <c r="O89" s="574"/>
      <c r="P89" s="574"/>
      <c r="Q89" s="574"/>
      <c r="R89" s="574"/>
      <c r="S89" s="574"/>
      <c r="T89" s="574"/>
      <c r="U89" s="574"/>
      <c r="V89" s="574"/>
      <c r="W89" s="574"/>
    </row>
    <row r="90" ht="12.0" customHeight="1">
      <c r="A90" s="664"/>
      <c r="B90" s="664"/>
      <c r="C90" s="574"/>
      <c r="D90" s="574"/>
      <c r="E90" s="574"/>
      <c r="F90" s="574"/>
      <c r="G90" s="574"/>
      <c r="H90" s="574"/>
      <c r="I90" s="574"/>
      <c r="J90" s="574"/>
      <c r="K90" s="574"/>
      <c r="L90" s="574"/>
      <c r="M90" s="574"/>
      <c r="N90" s="574"/>
      <c r="O90" s="574"/>
      <c r="P90" s="574"/>
      <c r="Q90" s="574"/>
      <c r="R90" s="574"/>
      <c r="S90" s="574"/>
      <c r="T90" s="574"/>
      <c r="U90" s="574"/>
      <c r="V90" s="574"/>
      <c r="W90" s="574"/>
    </row>
    <row r="91" ht="12.0" customHeight="1">
      <c r="A91" s="664"/>
      <c r="B91" s="664"/>
      <c r="C91" s="574"/>
      <c r="D91" s="574"/>
      <c r="E91" s="574"/>
      <c r="F91" s="574"/>
      <c r="G91" s="574"/>
      <c r="H91" s="574"/>
      <c r="I91" s="574"/>
      <c r="J91" s="574"/>
      <c r="K91" s="574"/>
      <c r="L91" s="574"/>
      <c r="M91" s="574"/>
      <c r="N91" s="574"/>
      <c r="O91" s="574"/>
      <c r="P91" s="574"/>
      <c r="Q91" s="574"/>
      <c r="R91" s="574"/>
      <c r="S91" s="574"/>
      <c r="T91" s="574"/>
      <c r="U91" s="574"/>
      <c r="V91" s="574"/>
      <c r="W91" s="574"/>
    </row>
    <row r="92" ht="12.0" customHeight="1">
      <c r="A92" s="664"/>
      <c r="B92" s="664"/>
      <c r="C92" s="574"/>
      <c r="D92" s="574"/>
      <c r="E92" s="574"/>
      <c r="F92" s="574"/>
      <c r="G92" s="574"/>
      <c r="H92" s="574"/>
      <c r="I92" s="574"/>
      <c r="J92" s="574"/>
      <c r="K92" s="574"/>
      <c r="L92" s="574"/>
      <c r="M92" s="574"/>
      <c r="N92" s="574"/>
      <c r="O92" s="574"/>
      <c r="P92" s="574"/>
      <c r="Q92" s="574"/>
      <c r="R92" s="574"/>
      <c r="S92" s="574"/>
      <c r="T92" s="574"/>
      <c r="U92" s="574"/>
      <c r="V92" s="574"/>
      <c r="W92" s="574"/>
    </row>
    <row r="93" ht="12.0" customHeight="1">
      <c r="A93" s="664"/>
      <c r="B93" s="664"/>
      <c r="C93" s="574"/>
      <c r="D93" s="574"/>
      <c r="E93" s="574"/>
      <c r="F93" s="574"/>
      <c r="G93" s="574"/>
      <c r="H93" s="574"/>
      <c r="I93" s="574"/>
      <c r="J93" s="574"/>
      <c r="K93" s="574"/>
      <c r="L93" s="574"/>
      <c r="M93" s="574"/>
      <c r="N93" s="574"/>
      <c r="O93" s="574"/>
      <c r="P93" s="574"/>
      <c r="Q93" s="574"/>
      <c r="R93" s="574"/>
      <c r="S93" s="574"/>
      <c r="T93" s="574"/>
      <c r="U93" s="574"/>
      <c r="V93" s="574"/>
      <c r="W93" s="574"/>
    </row>
    <row r="94" ht="12.0" customHeight="1">
      <c r="A94" s="664"/>
      <c r="B94" s="664"/>
      <c r="C94" s="574"/>
      <c r="D94" s="574"/>
      <c r="E94" s="574"/>
      <c r="F94" s="574"/>
      <c r="G94" s="574"/>
      <c r="H94" s="574"/>
      <c r="I94" s="574"/>
      <c r="J94" s="574"/>
      <c r="K94" s="574"/>
      <c r="L94" s="574"/>
      <c r="M94" s="574"/>
      <c r="N94" s="574"/>
      <c r="O94" s="574"/>
      <c r="P94" s="574"/>
      <c r="Q94" s="574"/>
      <c r="R94" s="574"/>
      <c r="S94" s="574"/>
      <c r="T94" s="574"/>
      <c r="U94" s="574"/>
      <c r="V94" s="574"/>
      <c r="W94" s="574"/>
    </row>
    <row r="95" ht="12.0" customHeight="1">
      <c r="A95" s="664"/>
      <c r="B95" s="664"/>
      <c r="C95" s="574"/>
      <c r="D95" s="574"/>
      <c r="E95" s="574"/>
      <c r="F95" s="574"/>
      <c r="G95" s="574"/>
      <c r="H95" s="574"/>
      <c r="I95" s="574"/>
      <c r="J95" s="574"/>
      <c r="K95" s="574"/>
      <c r="L95" s="574"/>
      <c r="M95" s="574"/>
      <c r="N95" s="574"/>
      <c r="O95" s="574"/>
      <c r="P95" s="574"/>
      <c r="Q95" s="574"/>
      <c r="R95" s="574"/>
      <c r="S95" s="574"/>
      <c r="T95" s="574"/>
      <c r="U95" s="574"/>
      <c r="V95" s="574"/>
      <c r="W95" s="574"/>
    </row>
    <row r="96" ht="12.0" customHeight="1">
      <c r="A96" s="664"/>
      <c r="B96" s="664"/>
      <c r="C96" s="574"/>
      <c r="D96" s="574"/>
      <c r="E96" s="574"/>
      <c r="F96" s="574"/>
      <c r="G96" s="574"/>
      <c r="H96" s="574"/>
      <c r="I96" s="574"/>
      <c r="J96" s="574"/>
      <c r="K96" s="574"/>
      <c r="L96" s="574"/>
      <c r="M96" s="574"/>
      <c r="N96" s="574"/>
      <c r="O96" s="574"/>
      <c r="P96" s="574"/>
      <c r="Q96" s="574"/>
      <c r="R96" s="574"/>
      <c r="S96" s="574"/>
      <c r="T96" s="574"/>
      <c r="U96" s="574"/>
      <c r="V96" s="574"/>
      <c r="W96" s="574"/>
    </row>
    <row r="97" ht="12.0" customHeight="1">
      <c r="A97" s="664"/>
      <c r="B97" s="664"/>
      <c r="C97" s="574"/>
      <c r="D97" s="574"/>
      <c r="E97" s="574"/>
      <c r="F97" s="574"/>
      <c r="G97" s="574"/>
      <c r="H97" s="574"/>
      <c r="I97" s="574"/>
      <c r="J97" s="574"/>
      <c r="K97" s="574"/>
      <c r="L97" s="574"/>
      <c r="M97" s="574"/>
      <c r="N97" s="574"/>
      <c r="O97" s="574"/>
      <c r="P97" s="574"/>
      <c r="Q97" s="574"/>
      <c r="R97" s="574"/>
      <c r="S97" s="574"/>
      <c r="T97" s="574"/>
      <c r="U97" s="574"/>
      <c r="V97" s="574"/>
      <c r="W97" s="574"/>
    </row>
    <row r="98" ht="12.0" customHeight="1">
      <c r="A98" s="664"/>
      <c r="B98" s="664"/>
      <c r="C98" s="574"/>
      <c r="D98" s="574"/>
      <c r="E98" s="574"/>
      <c r="F98" s="574"/>
      <c r="G98" s="574"/>
      <c r="H98" s="574"/>
      <c r="I98" s="574"/>
      <c r="J98" s="574"/>
      <c r="K98" s="574"/>
      <c r="L98" s="574"/>
      <c r="M98" s="574"/>
      <c r="N98" s="574"/>
      <c r="O98" s="574"/>
      <c r="P98" s="574"/>
      <c r="Q98" s="574"/>
      <c r="R98" s="574"/>
      <c r="S98" s="574"/>
      <c r="T98" s="574"/>
      <c r="U98" s="574"/>
      <c r="V98" s="574"/>
      <c r="W98" s="574"/>
    </row>
    <row r="99" ht="12.0" customHeight="1">
      <c r="A99" s="664"/>
      <c r="B99" s="664"/>
      <c r="C99" s="574"/>
      <c r="D99" s="574"/>
      <c r="E99" s="574"/>
      <c r="F99" s="574"/>
      <c r="G99" s="574"/>
      <c r="H99" s="574"/>
      <c r="I99" s="574"/>
      <c r="J99" s="574"/>
      <c r="K99" s="574"/>
      <c r="L99" s="574"/>
      <c r="M99" s="574"/>
      <c r="N99" s="574"/>
      <c r="O99" s="574"/>
      <c r="P99" s="574"/>
      <c r="Q99" s="574"/>
      <c r="R99" s="574"/>
      <c r="S99" s="574"/>
      <c r="T99" s="574"/>
      <c r="U99" s="574"/>
      <c r="V99" s="574"/>
      <c r="W99" s="574"/>
    </row>
    <row r="100" ht="12.0" customHeight="1">
      <c r="A100" s="664"/>
      <c r="B100" s="664"/>
      <c r="C100" s="574"/>
      <c r="D100" s="574"/>
      <c r="E100" s="574"/>
      <c r="F100" s="574"/>
      <c r="G100" s="574"/>
      <c r="H100" s="574"/>
      <c r="I100" s="574"/>
      <c r="J100" s="574"/>
      <c r="K100" s="574"/>
      <c r="L100" s="574"/>
      <c r="M100" s="574"/>
      <c r="N100" s="574"/>
      <c r="O100" s="574"/>
      <c r="P100" s="574"/>
      <c r="Q100" s="574"/>
      <c r="R100" s="574"/>
      <c r="S100" s="574"/>
      <c r="T100" s="574"/>
      <c r="U100" s="574"/>
      <c r="V100" s="574"/>
      <c r="W100" s="574"/>
    </row>
    <row r="101" ht="12.0" customHeight="1">
      <c r="A101" s="664"/>
      <c r="B101" s="664"/>
      <c r="C101" s="574"/>
      <c r="D101" s="574"/>
      <c r="E101" s="574"/>
      <c r="F101" s="574"/>
      <c r="G101" s="574"/>
      <c r="H101" s="574"/>
      <c r="I101" s="574"/>
      <c r="J101" s="574"/>
      <c r="K101" s="574"/>
      <c r="L101" s="574"/>
      <c r="M101" s="574"/>
      <c r="N101" s="574"/>
      <c r="O101" s="574"/>
      <c r="P101" s="574"/>
      <c r="Q101" s="574"/>
      <c r="R101" s="574"/>
      <c r="S101" s="574"/>
      <c r="T101" s="574"/>
      <c r="U101" s="574"/>
      <c r="V101" s="574"/>
      <c r="W101" s="574"/>
    </row>
    <row r="102" ht="12.0" customHeight="1">
      <c r="A102" s="664"/>
      <c r="B102" s="664"/>
      <c r="C102" s="574"/>
      <c r="D102" s="574"/>
      <c r="E102" s="574"/>
      <c r="F102" s="574"/>
      <c r="G102" s="574"/>
      <c r="H102" s="574"/>
      <c r="I102" s="574"/>
      <c r="J102" s="574"/>
      <c r="K102" s="574"/>
      <c r="L102" s="574"/>
      <c r="M102" s="574"/>
      <c r="N102" s="574"/>
      <c r="O102" s="574"/>
      <c r="P102" s="574"/>
      <c r="Q102" s="574"/>
      <c r="R102" s="574"/>
      <c r="S102" s="574"/>
      <c r="T102" s="574"/>
      <c r="U102" s="574"/>
      <c r="V102" s="574"/>
      <c r="W102" s="574"/>
    </row>
    <row r="103" ht="12.0" customHeight="1">
      <c r="A103" s="664"/>
      <c r="B103" s="66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4"/>
      <c r="N103" s="574"/>
      <c r="O103" s="574"/>
      <c r="P103" s="574"/>
      <c r="Q103" s="574"/>
      <c r="R103" s="574"/>
      <c r="S103" s="574"/>
      <c r="T103" s="574"/>
      <c r="U103" s="574"/>
      <c r="V103" s="574"/>
      <c r="W103" s="574"/>
    </row>
    <row r="104" ht="12.0" customHeight="1">
      <c r="A104" s="664"/>
      <c r="B104" s="664"/>
      <c r="C104" s="574"/>
      <c r="D104" s="574"/>
      <c r="E104" s="574"/>
      <c r="F104" s="574"/>
      <c r="G104" s="574"/>
      <c r="H104" s="574"/>
      <c r="I104" s="574"/>
      <c r="J104" s="574"/>
      <c r="K104" s="574"/>
      <c r="L104" s="574"/>
      <c r="M104" s="574"/>
      <c r="N104" s="574"/>
      <c r="O104" s="574"/>
      <c r="P104" s="574"/>
      <c r="Q104" s="574"/>
      <c r="R104" s="574"/>
      <c r="S104" s="574"/>
      <c r="T104" s="574"/>
      <c r="U104" s="574"/>
      <c r="V104" s="574"/>
      <c r="W104" s="574"/>
    </row>
    <row r="105" ht="12.0" customHeight="1">
      <c r="A105" s="664"/>
      <c r="B105" s="664"/>
      <c r="C105" s="574"/>
      <c r="D105" s="574"/>
      <c r="E105" s="574"/>
      <c r="F105" s="574"/>
      <c r="G105" s="574"/>
      <c r="H105" s="574"/>
      <c r="I105" s="574"/>
      <c r="J105" s="574"/>
      <c r="K105" s="574"/>
      <c r="L105" s="574"/>
      <c r="M105" s="574"/>
      <c r="N105" s="574"/>
      <c r="O105" s="574"/>
      <c r="P105" s="574"/>
      <c r="Q105" s="574"/>
      <c r="R105" s="574"/>
      <c r="S105" s="574"/>
      <c r="T105" s="574"/>
      <c r="U105" s="574"/>
      <c r="V105" s="574"/>
      <c r="W105" s="574"/>
    </row>
    <row r="106" ht="12.0" customHeight="1">
      <c r="A106" s="664"/>
      <c r="B106" s="664"/>
      <c r="C106" s="574"/>
      <c r="D106" s="574"/>
      <c r="E106" s="574"/>
      <c r="F106" s="574"/>
      <c r="G106" s="574"/>
      <c r="H106" s="574"/>
      <c r="I106" s="574"/>
      <c r="J106" s="574"/>
      <c r="K106" s="574"/>
      <c r="L106" s="574"/>
      <c r="M106" s="574"/>
      <c r="N106" s="574"/>
      <c r="O106" s="574"/>
      <c r="P106" s="574"/>
      <c r="Q106" s="574"/>
      <c r="R106" s="574"/>
      <c r="S106" s="574"/>
      <c r="T106" s="574"/>
      <c r="U106" s="574"/>
      <c r="V106" s="574"/>
      <c r="W106" s="574"/>
    </row>
    <row r="107" ht="12.0" customHeight="1">
      <c r="A107" s="664"/>
      <c r="B107" s="664"/>
      <c r="C107" s="574"/>
      <c r="D107" s="574"/>
      <c r="E107" s="574"/>
      <c r="F107" s="574"/>
      <c r="G107" s="574"/>
      <c r="H107" s="574"/>
      <c r="I107" s="574"/>
      <c r="J107" s="574"/>
      <c r="K107" s="574"/>
      <c r="L107" s="574"/>
      <c r="M107" s="574"/>
      <c r="N107" s="574"/>
      <c r="O107" s="574"/>
      <c r="P107" s="574"/>
      <c r="Q107" s="574"/>
      <c r="R107" s="574"/>
      <c r="S107" s="574"/>
      <c r="T107" s="574"/>
      <c r="U107" s="574"/>
      <c r="V107" s="574"/>
      <c r="W107" s="574"/>
    </row>
    <row r="108" ht="12.0" customHeight="1">
      <c r="A108" s="664"/>
      <c r="B108" s="664"/>
      <c r="C108" s="574"/>
      <c r="D108" s="574"/>
      <c r="E108" s="574"/>
      <c r="F108" s="574"/>
      <c r="G108" s="574"/>
      <c r="H108" s="574"/>
      <c r="I108" s="574"/>
      <c r="J108" s="574"/>
      <c r="K108" s="574"/>
      <c r="L108" s="574"/>
      <c r="M108" s="574"/>
      <c r="N108" s="574"/>
      <c r="O108" s="574"/>
      <c r="P108" s="574"/>
      <c r="Q108" s="574"/>
      <c r="R108" s="574"/>
      <c r="S108" s="574"/>
      <c r="T108" s="574"/>
      <c r="U108" s="574"/>
      <c r="V108" s="574"/>
      <c r="W108" s="574"/>
    </row>
    <row r="109" ht="12.0" customHeight="1">
      <c r="A109" s="664"/>
      <c r="B109" s="664"/>
      <c r="C109" s="574"/>
      <c r="D109" s="574"/>
      <c r="E109" s="574"/>
      <c r="F109" s="574"/>
      <c r="G109" s="574"/>
      <c r="H109" s="574"/>
      <c r="I109" s="574"/>
      <c r="J109" s="574"/>
      <c r="K109" s="574"/>
      <c r="L109" s="574"/>
      <c r="M109" s="574"/>
      <c r="N109" s="574"/>
      <c r="O109" s="574"/>
      <c r="P109" s="574"/>
      <c r="Q109" s="574"/>
      <c r="R109" s="574"/>
      <c r="S109" s="574"/>
      <c r="T109" s="574"/>
      <c r="U109" s="574"/>
      <c r="V109" s="574"/>
      <c r="W109" s="574"/>
    </row>
    <row r="110" ht="12.0" customHeight="1">
      <c r="A110" s="664"/>
      <c r="B110" s="664"/>
      <c r="C110" s="574"/>
      <c r="D110" s="574"/>
      <c r="E110" s="574"/>
      <c r="F110" s="574"/>
      <c r="G110" s="574"/>
      <c r="H110" s="574"/>
      <c r="I110" s="574"/>
      <c r="J110" s="574"/>
      <c r="K110" s="574"/>
      <c r="L110" s="574"/>
      <c r="M110" s="574"/>
      <c r="N110" s="574"/>
      <c r="O110" s="574"/>
      <c r="P110" s="574"/>
      <c r="Q110" s="574"/>
      <c r="R110" s="574"/>
      <c r="S110" s="574"/>
      <c r="T110" s="574"/>
      <c r="U110" s="574"/>
      <c r="V110" s="574"/>
      <c r="W110" s="574"/>
    </row>
    <row r="111" ht="12.0" customHeight="1">
      <c r="A111" s="664"/>
      <c r="B111" s="664"/>
      <c r="C111" s="574"/>
      <c r="D111" s="574"/>
      <c r="E111" s="574"/>
      <c r="F111" s="574"/>
      <c r="G111" s="574"/>
      <c r="H111" s="574"/>
      <c r="I111" s="574"/>
      <c r="J111" s="574"/>
      <c r="K111" s="574"/>
      <c r="L111" s="574"/>
      <c r="M111" s="574"/>
      <c r="N111" s="574"/>
      <c r="O111" s="574"/>
      <c r="P111" s="574"/>
      <c r="Q111" s="574"/>
      <c r="R111" s="574"/>
      <c r="S111" s="574"/>
      <c r="T111" s="574"/>
      <c r="U111" s="574"/>
      <c r="V111" s="574"/>
      <c r="W111" s="574"/>
    </row>
    <row r="112" ht="12.0" customHeight="1">
      <c r="A112" s="664"/>
      <c r="B112" s="664"/>
      <c r="C112" s="574"/>
      <c r="D112" s="574"/>
      <c r="E112" s="574"/>
      <c r="F112" s="574"/>
      <c r="G112" s="574"/>
      <c r="H112" s="574"/>
      <c r="I112" s="574"/>
      <c r="J112" s="574"/>
      <c r="K112" s="574"/>
      <c r="L112" s="574"/>
      <c r="M112" s="574"/>
      <c r="N112" s="574"/>
      <c r="O112" s="574"/>
      <c r="P112" s="574"/>
      <c r="Q112" s="574"/>
      <c r="R112" s="574"/>
      <c r="S112" s="574"/>
      <c r="T112" s="574"/>
      <c r="U112" s="574"/>
      <c r="V112" s="574"/>
      <c r="W112" s="574"/>
    </row>
    <row r="113" ht="12.0" customHeight="1">
      <c r="A113" s="664"/>
      <c r="B113" s="664"/>
      <c r="C113" s="574"/>
      <c r="D113" s="574"/>
      <c r="E113" s="574"/>
      <c r="F113" s="574"/>
      <c r="G113" s="574"/>
      <c r="H113" s="574"/>
      <c r="I113" s="574"/>
      <c r="J113" s="574"/>
      <c r="K113" s="574"/>
      <c r="L113" s="574"/>
      <c r="M113" s="574"/>
      <c r="N113" s="574"/>
      <c r="O113" s="574"/>
      <c r="P113" s="574"/>
      <c r="Q113" s="574"/>
      <c r="R113" s="574"/>
      <c r="S113" s="574"/>
      <c r="T113" s="574"/>
      <c r="U113" s="574"/>
      <c r="V113" s="574"/>
      <c r="W113" s="574"/>
    </row>
    <row r="114" ht="12.0" customHeight="1">
      <c r="A114" s="664"/>
      <c r="B114" s="664"/>
      <c r="C114" s="574"/>
      <c r="D114" s="574"/>
      <c r="E114" s="574"/>
      <c r="F114" s="574"/>
      <c r="G114" s="574"/>
      <c r="H114" s="574"/>
      <c r="I114" s="574"/>
      <c r="J114" s="574"/>
      <c r="K114" s="574"/>
      <c r="L114" s="574"/>
      <c r="M114" s="574"/>
      <c r="N114" s="574"/>
      <c r="O114" s="574"/>
      <c r="P114" s="574"/>
      <c r="Q114" s="574"/>
      <c r="R114" s="574"/>
      <c r="S114" s="574"/>
      <c r="T114" s="574"/>
      <c r="U114" s="574"/>
      <c r="V114" s="574"/>
      <c r="W114" s="574"/>
    </row>
    <row r="115" ht="12.0" customHeight="1">
      <c r="A115" s="664"/>
      <c r="B115" s="664"/>
      <c r="C115" s="574"/>
      <c r="D115" s="574"/>
      <c r="E115" s="574"/>
      <c r="F115" s="574"/>
      <c r="G115" s="574"/>
      <c r="H115" s="574"/>
      <c r="I115" s="574"/>
      <c r="J115" s="574"/>
      <c r="K115" s="574"/>
      <c r="L115" s="574"/>
      <c r="M115" s="574"/>
      <c r="N115" s="574"/>
      <c r="O115" s="574"/>
      <c r="P115" s="574"/>
      <c r="Q115" s="574"/>
      <c r="R115" s="574"/>
      <c r="S115" s="574"/>
      <c r="T115" s="574"/>
      <c r="U115" s="574"/>
      <c r="V115" s="574"/>
      <c r="W115" s="574"/>
    </row>
    <row r="116" ht="12.0" customHeight="1">
      <c r="A116" s="664"/>
      <c r="B116" s="664"/>
      <c r="C116" s="574"/>
      <c r="D116" s="574"/>
      <c r="E116" s="574"/>
      <c r="F116" s="574"/>
      <c r="G116" s="574"/>
      <c r="H116" s="574"/>
      <c r="I116" s="574"/>
      <c r="J116" s="574"/>
      <c r="K116" s="574"/>
      <c r="L116" s="574"/>
      <c r="M116" s="574"/>
      <c r="N116" s="574"/>
      <c r="O116" s="574"/>
      <c r="P116" s="574"/>
      <c r="Q116" s="574"/>
      <c r="R116" s="574"/>
      <c r="S116" s="574"/>
      <c r="T116" s="574"/>
      <c r="U116" s="574"/>
      <c r="V116" s="574"/>
      <c r="W116" s="574"/>
    </row>
    <row r="117" ht="12.0" customHeight="1">
      <c r="A117" s="664"/>
      <c r="B117" s="664"/>
      <c r="C117" s="574"/>
      <c r="D117" s="574"/>
      <c r="E117" s="574"/>
      <c r="F117" s="574"/>
      <c r="G117" s="574"/>
      <c r="H117" s="574"/>
      <c r="I117" s="574"/>
      <c r="J117" s="574"/>
      <c r="K117" s="574"/>
      <c r="L117" s="574"/>
      <c r="M117" s="574"/>
      <c r="N117" s="574"/>
      <c r="O117" s="574"/>
      <c r="P117" s="574"/>
      <c r="Q117" s="574"/>
      <c r="R117" s="574"/>
      <c r="S117" s="574"/>
      <c r="T117" s="574"/>
      <c r="U117" s="574"/>
      <c r="V117" s="574"/>
      <c r="W117" s="574"/>
    </row>
    <row r="118" ht="12.0" customHeight="1">
      <c r="A118" s="664"/>
      <c r="B118" s="664"/>
      <c r="C118" s="574"/>
      <c r="D118" s="574"/>
      <c r="E118" s="574"/>
      <c r="F118" s="574"/>
      <c r="G118" s="574"/>
      <c r="H118" s="574"/>
      <c r="I118" s="574"/>
      <c r="J118" s="574"/>
      <c r="K118" s="574"/>
      <c r="L118" s="574"/>
      <c r="M118" s="574"/>
      <c r="N118" s="574"/>
      <c r="O118" s="574"/>
      <c r="P118" s="574"/>
      <c r="Q118" s="574"/>
      <c r="R118" s="574"/>
      <c r="S118" s="574"/>
      <c r="T118" s="574"/>
      <c r="U118" s="574"/>
      <c r="V118" s="574"/>
      <c r="W118" s="574"/>
    </row>
    <row r="119" ht="12.0" customHeight="1">
      <c r="A119" s="664"/>
      <c r="B119" s="664"/>
      <c r="C119" s="574"/>
      <c r="D119" s="574"/>
      <c r="E119" s="574"/>
      <c r="F119" s="574"/>
      <c r="G119" s="574"/>
      <c r="H119" s="574"/>
      <c r="I119" s="574"/>
      <c r="J119" s="574"/>
      <c r="K119" s="574"/>
      <c r="L119" s="574"/>
      <c r="M119" s="574"/>
      <c r="N119" s="574"/>
      <c r="O119" s="574"/>
      <c r="P119" s="574"/>
      <c r="Q119" s="574"/>
      <c r="R119" s="574"/>
      <c r="S119" s="574"/>
      <c r="T119" s="574"/>
      <c r="U119" s="574"/>
      <c r="V119" s="574"/>
      <c r="W119" s="574"/>
    </row>
    <row r="120" ht="12.0" customHeight="1">
      <c r="A120" s="664"/>
      <c r="B120" s="664"/>
      <c r="C120" s="574"/>
      <c r="D120" s="574"/>
      <c r="E120" s="574"/>
      <c r="F120" s="574"/>
      <c r="G120" s="574"/>
      <c r="H120" s="574"/>
      <c r="I120" s="574"/>
      <c r="J120" s="574"/>
      <c r="K120" s="574"/>
      <c r="L120" s="574"/>
      <c r="M120" s="574"/>
      <c r="N120" s="574"/>
      <c r="O120" s="574"/>
      <c r="P120" s="574"/>
      <c r="Q120" s="574"/>
      <c r="R120" s="574"/>
      <c r="S120" s="574"/>
      <c r="T120" s="574"/>
      <c r="U120" s="574"/>
      <c r="V120" s="574"/>
      <c r="W120" s="574"/>
    </row>
    <row r="121" ht="12.0" customHeight="1">
      <c r="A121" s="664"/>
      <c r="B121" s="664"/>
      <c r="C121" s="574"/>
      <c r="D121" s="574"/>
      <c r="E121" s="574"/>
      <c r="F121" s="574"/>
      <c r="G121" s="574"/>
      <c r="H121" s="574"/>
      <c r="I121" s="574"/>
      <c r="J121" s="574"/>
      <c r="K121" s="574"/>
      <c r="L121" s="574"/>
      <c r="M121" s="574"/>
      <c r="N121" s="574"/>
      <c r="O121" s="574"/>
      <c r="P121" s="574"/>
      <c r="Q121" s="574"/>
      <c r="R121" s="574"/>
      <c r="S121" s="574"/>
      <c r="T121" s="574"/>
      <c r="U121" s="574"/>
      <c r="V121" s="574"/>
      <c r="W121" s="574"/>
    </row>
    <row r="122" ht="12.0" customHeight="1">
      <c r="A122" s="664"/>
      <c r="B122" s="664"/>
      <c r="C122" s="574"/>
      <c r="D122" s="574"/>
      <c r="E122" s="574"/>
      <c r="F122" s="574"/>
      <c r="G122" s="574"/>
      <c r="H122" s="574"/>
      <c r="I122" s="574"/>
      <c r="J122" s="574"/>
      <c r="K122" s="574"/>
      <c r="L122" s="574"/>
      <c r="M122" s="574"/>
      <c r="N122" s="574"/>
      <c r="O122" s="574"/>
      <c r="P122" s="574"/>
      <c r="Q122" s="574"/>
      <c r="R122" s="574"/>
      <c r="S122" s="574"/>
      <c r="T122" s="574"/>
      <c r="U122" s="574"/>
      <c r="V122" s="574"/>
      <c r="W122" s="574"/>
    </row>
    <row r="123" ht="12.0" customHeight="1">
      <c r="A123" s="664"/>
      <c r="B123" s="66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4"/>
      <c r="N123" s="574"/>
      <c r="O123" s="574"/>
      <c r="P123" s="574"/>
      <c r="Q123" s="574"/>
      <c r="R123" s="574"/>
      <c r="S123" s="574"/>
      <c r="T123" s="574"/>
      <c r="U123" s="574"/>
      <c r="V123" s="574"/>
      <c r="W123" s="574"/>
    </row>
    <row r="124" ht="12.0" customHeight="1">
      <c r="A124" s="664"/>
      <c r="B124" s="664"/>
      <c r="C124" s="574"/>
      <c r="D124" s="574"/>
      <c r="E124" s="574"/>
      <c r="F124" s="574"/>
      <c r="G124" s="574"/>
      <c r="H124" s="574"/>
      <c r="I124" s="574"/>
      <c r="J124" s="574"/>
      <c r="K124" s="574"/>
      <c r="L124" s="574"/>
      <c r="M124" s="574"/>
      <c r="N124" s="574"/>
      <c r="O124" s="574"/>
      <c r="P124" s="574"/>
      <c r="Q124" s="574"/>
      <c r="R124" s="574"/>
      <c r="S124" s="574"/>
      <c r="T124" s="574"/>
      <c r="U124" s="574"/>
      <c r="V124" s="574"/>
      <c r="W124" s="574"/>
    </row>
    <row r="125" ht="12.0" customHeight="1">
      <c r="A125" s="664"/>
      <c r="B125" s="664"/>
      <c r="C125" s="574"/>
      <c r="D125" s="574"/>
      <c r="E125" s="574"/>
      <c r="F125" s="574"/>
      <c r="G125" s="574"/>
      <c r="H125" s="574"/>
      <c r="I125" s="574"/>
      <c r="J125" s="574"/>
      <c r="K125" s="574"/>
      <c r="L125" s="574"/>
      <c r="M125" s="574"/>
      <c r="N125" s="574"/>
      <c r="O125" s="574"/>
      <c r="P125" s="574"/>
      <c r="Q125" s="574"/>
      <c r="R125" s="574"/>
      <c r="S125" s="574"/>
      <c r="T125" s="574"/>
      <c r="U125" s="574"/>
      <c r="V125" s="574"/>
      <c r="W125" s="574"/>
    </row>
    <row r="126" ht="12.0" customHeight="1">
      <c r="A126" s="664"/>
      <c r="B126" s="664"/>
      <c r="C126" s="574"/>
      <c r="D126" s="574"/>
      <c r="E126" s="574"/>
      <c r="F126" s="574"/>
      <c r="G126" s="574"/>
      <c r="H126" s="574"/>
      <c r="I126" s="574"/>
      <c r="J126" s="574"/>
      <c r="K126" s="574"/>
      <c r="L126" s="574"/>
      <c r="M126" s="574"/>
      <c r="N126" s="574"/>
      <c r="O126" s="574"/>
      <c r="P126" s="574"/>
      <c r="Q126" s="574"/>
      <c r="R126" s="574"/>
      <c r="S126" s="574"/>
      <c r="T126" s="574"/>
      <c r="U126" s="574"/>
      <c r="V126" s="574"/>
      <c r="W126" s="574"/>
    </row>
    <row r="127" ht="12.0" customHeight="1">
      <c r="A127" s="664"/>
      <c r="B127" s="664"/>
      <c r="C127" s="574"/>
      <c r="D127" s="574"/>
      <c r="E127" s="574"/>
      <c r="F127" s="574"/>
      <c r="G127" s="574"/>
      <c r="H127" s="574"/>
      <c r="I127" s="574"/>
      <c r="J127" s="574"/>
      <c r="K127" s="574"/>
      <c r="L127" s="574"/>
      <c r="M127" s="574"/>
      <c r="N127" s="574"/>
      <c r="O127" s="574"/>
      <c r="P127" s="574"/>
      <c r="Q127" s="574"/>
      <c r="R127" s="574"/>
      <c r="S127" s="574"/>
      <c r="T127" s="574"/>
      <c r="U127" s="574"/>
      <c r="V127" s="574"/>
      <c r="W127" s="574"/>
    </row>
    <row r="128" ht="12.0" customHeight="1">
      <c r="A128" s="664"/>
      <c r="B128" s="664"/>
      <c r="C128" s="574"/>
      <c r="D128" s="574"/>
      <c r="E128" s="574"/>
      <c r="F128" s="574"/>
      <c r="G128" s="574"/>
      <c r="H128" s="574"/>
      <c r="I128" s="574"/>
      <c r="J128" s="574"/>
      <c r="K128" s="574"/>
      <c r="L128" s="574"/>
      <c r="M128" s="574"/>
      <c r="N128" s="574"/>
      <c r="O128" s="574"/>
      <c r="P128" s="574"/>
      <c r="Q128" s="574"/>
      <c r="R128" s="574"/>
      <c r="S128" s="574"/>
      <c r="T128" s="574"/>
      <c r="U128" s="574"/>
      <c r="V128" s="574"/>
      <c r="W128" s="574"/>
    </row>
    <row r="129" ht="12.0" customHeight="1">
      <c r="A129" s="664"/>
      <c r="B129" s="664"/>
      <c r="C129" s="574"/>
      <c r="D129" s="574"/>
      <c r="E129" s="574"/>
      <c r="F129" s="574"/>
      <c r="G129" s="574"/>
      <c r="H129" s="574"/>
      <c r="I129" s="574"/>
      <c r="J129" s="574"/>
      <c r="K129" s="574"/>
      <c r="L129" s="574"/>
      <c r="M129" s="574"/>
      <c r="N129" s="574"/>
      <c r="O129" s="574"/>
      <c r="P129" s="574"/>
      <c r="Q129" s="574"/>
      <c r="R129" s="574"/>
      <c r="S129" s="574"/>
      <c r="T129" s="574"/>
      <c r="U129" s="574"/>
      <c r="V129" s="574"/>
      <c r="W129" s="574"/>
    </row>
    <row r="130" ht="12.0" customHeight="1">
      <c r="A130" s="664"/>
      <c r="B130" s="664"/>
      <c r="C130" s="574"/>
      <c r="D130" s="574"/>
      <c r="E130" s="574"/>
      <c r="F130" s="574"/>
      <c r="G130" s="574"/>
      <c r="H130" s="574"/>
      <c r="I130" s="574"/>
      <c r="J130" s="574"/>
      <c r="K130" s="574"/>
      <c r="L130" s="574"/>
      <c r="M130" s="574"/>
      <c r="N130" s="574"/>
      <c r="O130" s="574"/>
      <c r="P130" s="574"/>
      <c r="Q130" s="574"/>
      <c r="R130" s="574"/>
      <c r="S130" s="574"/>
      <c r="T130" s="574"/>
      <c r="U130" s="574"/>
      <c r="V130" s="574"/>
      <c r="W130" s="574"/>
    </row>
    <row r="131" ht="12.0" customHeight="1">
      <c r="A131" s="664"/>
      <c r="B131" s="664"/>
      <c r="C131" s="574"/>
      <c r="D131" s="574"/>
      <c r="E131" s="574"/>
      <c r="F131" s="574"/>
      <c r="G131" s="574"/>
      <c r="H131" s="574"/>
      <c r="I131" s="574"/>
      <c r="J131" s="574"/>
      <c r="K131" s="574"/>
      <c r="L131" s="574"/>
      <c r="M131" s="574"/>
      <c r="N131" s="574"/>
      <c r="O131" s="574"/>
      <c r="P131" s="574"/>
      <c r="Q131" s="574"/>
      <c r="R131" s="574"/>
      <c r="S131" s="574"/>
      <c r="T131" s="574"/>
      <c r="U131" s="574"/>
      <c r="V131" s="574"/>
      <c r="W131" s="574"/>
    </row>
    <row r="132" ht="12.0" customHeight="1">
      <c r="A132" s="664"/>
      <c r="B132" s="664"/>
      <c r="C132" s="574"/>
      <c r="D132" s="574"/>
      <c r="E132" s="574"/>
      <c r="F132" s="574"/>
      <c r="G132" s="574"/>
      <c r="H132" s="574"/>
      <c r="I132" s="574"/>
      <c r="J132" s="574"/>
      <c r="K132" s="574"/>
      <c r="L132" s="574"/>
      <c r="M132" s="574"/>
      <c r="N132" s="574"/>
      <c r="O132" s="574"/>
      <c r="P132" s="574"/>
      <c r="Q132" s="574"/>
      <c r="R132" s="574"/>
      <c r="S132" s="574"/>
      <c r="T132" s="574"/>
      <c r="U132" s="574"/>
      <c r="V132" s="574"/>
      <c r="W132" s="574"/>
    </row>
    <row r="133" ht="12.0" customHeight="1">
      <c r="A133" s="664"/>
      <c r="B133" s="664"/>
      <c r="C133" s="574"/>
      <c r="D133" s="574"/>
      <c r="E133" s="574"/>
      <c r="F133" s="574"/>
      <c r="G133" s="574"/>
      <c r="H133" s="574"/>
      <c r="I133" s="574"/>
      <c r="J133" s="574"/>
      <c r="K133" s="574"/>
      <c r="L133" s="574"/>
      <c r="M133" s="574"/>
      <c r="N133" s="574"/>
      <c r="O133" s="574"/>
      <c r="P133" s="574"/>
      <c r="Q133" s="574"/>
      <c r="R133" s="574"/>
      <c r="S133" s="574"/>
      <c r="T133" s="574"/>
      <c r="U133" s="574"/>
      <c r="V133" s="574"/>
      <c r="W133" s="574"/>
    </row>
    <row r="134" ht="12.0" customHeight="1">
      <c r="A134" s="664"/>
      <c r="B134" s="664"/>
      <c r="C134" s="574"/>
      <c r="D134" s="574"/>
      <c r="E134" s="574"/>
      <c r="F134" s="574"/>
      <c r="G134" s="574"/>
      <c r="H134" s="574"/>
      <c r="I134" s="574"/>
      <c r="J134" s="574"/>
      <c r="K134" s="574"/>
      <c r="L134" s="574"/>
      <c r="M134" s="574"/>
      <c r="N134" s="574"/>
      <c r="O134" s="574"/>
      <c r="P134" s="574"/>
      <c r="Q134" s="574"/>
      <c r="R134" s="574"/>
      <c r="S134" s="574"/>
      <c r="T134" s="574"/>
      <c r="U134" s="574"/>
      <c r="V134" s="574"/>
      <c r="W134" s="574"/>
    </row>
    <row r="135" ht="12.0" customHeight="1">
      <c r="A135" s="664"/>
      <c r="B135" s="664"/>
      <c r="C135" s="574"/>
      <c r="D135" s="574"/>
      <c r="E135" s="574"/>
      <c r="F135" s="574"/>
      <c r="G135" s="574"/>
      <c r="H135" s="574"/>
      <c r="I135" s="574"/>
      <c r="J135" s="574"/>
      <c r="K135" s="574"/>
      <c r="L135" s="574"/>
      <c r="M135" s="574"/>
      <c r="N135" s="574"/>
      <c r="O135" s="574"/>
      <c r="P135" s="574"/>
      <c r="Q135" s="574"/>
      <c r="R135" s="574"/>
      <c r="S135" s="574"/>
      <c r="T135" s="574"/>
      <c r="U135" s="574"/>
      <c r="V135" s="574"/>
      <c r="W135" s="574"/>
    </row>
    <row r="136" ht="12.0" customHeight="1">
      <c r="A136" s="664"/>
      <c r="B136" s="664"/>
      <c r="C136" s="574"/>
      <c r="D136" s="574"/>
      <c r="E136" s="574"/>
      <c r="F136" s="574"/>
      <c r="G136" s="574"/>
      <c r="H136" s="574"/>
      <c r="I136" s="574"/>
      <c r="J136" s="574"/>
      <c r="K136" s="574"/>
      <c r="L136" s="574"/>
      <c r="M136" s="574"/>
      <c r="N136" s="574"/>
      <c r="O136" s="574"/>
      <c r="P136" s="574"/>
      <c r="Q136" s="574"/>
      <c r="R136" s="574"/>
      <c r="S136" s="574"/>
      <c r="T136" s="574"/>
      <c r="U136" s="574"/>
      <c r="V136" s="574"/>
      <c r="W136" s="574"/>
    </row>
    <row r="137" ht="12.0" customHeight="1">
      <c r="A137" s="664"/>
      <c r="B137" s="664"/>
      <c r="C137" s="574"/>
      <c r="D137" s="574"/>
      <c r="E137" s="574"/>
      <c r="F137" s="574"/>
      <c r="G137" s="574"/>
      <c r="H137" s="574"/>
      <c r="I137" s="574"/>
      <c r="J137" s="574"/>
      <c r="K137" s="574"/>
      <c r="L137" s="574"/>
      <c r="M137" s="574"/>
      <c r="N137" s="574"/>
      <c r="O137" s="574"/>
      <c r="P137" s="574"/>
      <c r="Q137" s="574"/>
      <c r="R137" s="574"/>
      <c r="S137" s="574"/>
      <c r="T137" s="574"/>
      <c r="U137" s="574"/>
      <c r="V137" s="574"/>
      <c r="W137" s="574"/>
    </row>
    <row r="138" ht="12.0" customHeight="1">
      <c r="A138" s="664"/>
      <c r="B138" s="664"/>
      <c r="C138" s="574"/>
      <c r="D138" s="574"/>
      <c r="E138" s="574"/>
      <c r="F138" s="574"/>
      <c r="G138" s="574"/>
      <c r="H138" s="574"/>
      <c r="I138" s="574"/>
      <c r="J138" s="574"/>
      <c r="K138" s="574"/>
      <c r="L138" s="574"/>
      <c r="M138" s="574"/>
      <c r="N138" s="574"/>
      <c r="O138" s="574"/>
      <c r="P138" s="574"/>
      <c r="Q138" s="574"/>
      <c r="R138" s="574"/>
      <c r="S138" s="574"/>
      <c r="T138" s="574"/>
      <c r="U138" s="574"/>
      <c r="V138" s="574"/>
      <c r="W138" s="574"/>
    </row>
    <row r="139" ht="12.0" customHeight="1">
      <c r="A139" s="664"/>
      <c r="B139" s="664"/>
      <c r="C139" s="574"/>
      <c r="D139" s="574"/>
      <c r="E139" s="574"/>
      <c r="F139" s="574"/>
      <c r="G139" s="574"/>
      <c r="H139" s="574"/>
      <c r="I139" s="574"/>
      <c r="J139" s="574"/>
      <c r="K139" s="574"/>
      <c r="L139" s="574"/>
      <c r="M139" s="574"/>
      <c r="N139" s="574"/>
      <c r="O139" s="574"/>
      <c r="P139" s="574"/>
      <c r="Q139" s="574"/>
      <c r="R139" s="574"/>
      <c r="S139" s="574"/>
      <c r="T139" s="574"/>
      <c r="U139" s="574"/>
      <c r="V139" s="574"/>
      <c r="W139" s="574"/>
    </row>
    <row r="140" ht="12.0" customHeight="1">
      <c r="A140" s="664"/>
      <c r="B140" s="664"/>
      <c r="C140" s="574"/>
      <c r="D140" s="574"/>
      <c r="E140" s="574"/>
      <c r="F140" s="574"/>
      <c r="G140" s="574"/>
      <c r="H140" s="574"/>
      <c r="I140" s="574"/>
      <c r="J140" s="574"/>
      <c r="K140" s="574"/>
      <c r="L140" s="574"/>
      <c r="M140" s="574"/>
      <c r="N140" s="574"/>
      <c r="O140" s="574"/>
      <c r="P140" s="574"/>
      <c r="Q140" s="574"/>
      <c r="R140" s="574"/>
      <c r="S140" s="574"/>
      <c r="T140" s="574"/>
      <c r="U140" s="574"/>
      <c r="V140" s="574"/>
      <c r="W140" s="574"/>
    </row>
    <row r="141" ht="12.0" customHeight="1">
      <c r="A141" s="664"/>
      <c r="B141" s="664"/>
      <c r="C141" s="574"/>
      <c r="D141" s="574"/>
      <c r="E141" s="574"/>
      <c r="F141" s="574"/>
      <c r="G141" s="574"/>
      <c r="H141" s="574"/>
      <c r="I141" s="574"/>
      <c r="J141" s="574"/>
      <c r="K141" s="574"/>
      <c r="L141" s="574"/>
      <c r="M141" s="574"/>
      <c r="N141" s="574"/>
      <c r="O141" s="574"/>
      <c r="P141" s="574"/>
      <c r="Q141" s="574"/>
      <c r="R141" s="574"/>
      <c r="S141" s="574"/>
      <c r="T141" s="574"/>
      <c r="U141" s="574"/>
      <c r="V141" s="574"/>
      <c r="W141" s="574"/>
    </row>
    <row r="142" ht="12.0" customHeight="1">
      <c r="A142" s="664"/>
      <c r="B142" s="664"/>
      <c r="C142" s="574"/>
      <c r="D142" s="574"/>
      <c r="E142" s="574"/>
      <c r="F142" s="574"/>
      <c r="G142" s="574"/>
      <c r="H142" s="574"/>
      <c r="I142" s="574"/>
      <c r="J142" s="574"/>
      <c r="K142" s="574"/>
      <c r="L142" s="574"/>
      <c r="M142" s="574"/>
      <c r="N142" s="574"/>
      <c r="O142" s="574"/>
      <c r="P142" s="574"/>
      <c r="Q142" s="574"/>
      <c r="R142" s="574"/>
      <c r="S142" s="574"/>
      <c r="T142" s="574"/>
      <c r="U142" s="574"/>
      <c r="V142" s="574"/>
      <c r="W142" s="574"/>
    </row>
    <row r="143" ht="12.0" customHeight="1">
      <c r="A143" s="664"/>
      <c r="B143" s="66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4"/>
      <c r="N143" s="574"/>
      <c r="O143" s="574"/>
      <c r="P143" s="574"/>
      <c r="Q143" s="574"/>
      <c r="R143" s="574"/>
      <c r="S143" s="574"/>
      <c r="T143" s="574"/>
      <c r="U143" s="574"/>
      <c r="V143" s="574"/>
      <c r="W143" s="574"/>
    </row>
    <row r="144" ht="12.0" customHeight="1">
      <c r="A144" s="664"/>
      <c r="B144" s="664"/>
      <c r="C144" s="574"/>
      <c r="D144" s="574"/>
      <c r="E144" s="574"/>
      <c r="F144" s="574"/>
      <c r="G144" s="574"/>
      <c r="H144" s="574"/>
      <c r="I144" s="574"/>
      <c r="J144" s="574"/>
      <c r="K144" s="574"/>
      <c r="L144" s="574"/>
      <c r="M144" s="574"/>
      <c r="N144" s="574"/>
      <c r="O144" s="574"/>
      <c r="P144" s="574"/>
      <c r="Q144" s="574"/>
      <c r="R144" s="574"/>
      <c r="S144" s="574"/>
      <c r="T144" s="574"/>
      <c r="U144" s="574"/>
      <c r="V144" s="574"/>
      <c r="W144" s="574"/>
    </row>
    <row r="145" ht="12.0" customHeight="1">
      <c r="A145" s="664"/>
      <c r="B145" s="664"/>
      <c r="C145" s="574"/>
      <c r="D145" s="574"/>
      <c r="E145" s="574"/>
      <c r="F145" s="574"/>
      <c r="G145" s="574"/>
      <c r="H145" s="574"/>
      <c r="I145" s="574"/>
      <c r="J145" s="574"/>
      <c r="K145" s="574"/>
      <c r="L145" s="574"/>
      <c r="M145" s="574"/>
      <c r="N145" s="574"/>
      <c r="O145" s="574"/>
      <c r="P145" s="574"/>
      <c r="Q145" s="574"/>
      <c r="R145" s="574"/>
      <c r="S145" s="574"/>
      <c r="T145" s="574"/>
      <c r="U145" s="574"/>
      <c r="V145" s="574"/>
      <c r="W145" s="574"/>
    </row>
    <row r="146" ht="12.0" customHeight="1">
      <c r="A146" s="664"/>
      <c r="B146" s="664"/>
      <c r="C146" s="574"/>
      <c r="D146" s="574"/>
      <c r="E146" s="574"/>
      <c r="F146" s="574"/>
      <c r="G146" s="574"/>
      <c r="H146" s="574"/>
      <c r="I146" s="574"/>
      <c r="J146" s="574"/>
      <c r="K146" s="574"/>
      <c r="L146" s="574"/>
      <c r="M146" s="574"/>
      <c r="N146" s="574"/>
      <c r="O146" s="574"/>
      <c r="P146" s="574"/>
      <c r="Q146" s="574"/>
      <c r="R146" s="574"/>
      <c r="S146" s="574"/>
      <c r="T146" s="574"/>
      <c r="U146" s="574"/>
      <c r="V146" s="574"/>
      <c r="W146" s="574"/>
    </row>
    <row r="147" ht="12.0" customHeight="1">
      <c r="A147" s="664"/>
      <c r="B147" s="664"/>
      <c r="C147" s="574"/>
      <c r="D147" s="574"/>
      <c r="E147" s="574"/>
      <c r="F147" s="574"/>
      <c r="G147" s="574"/>
      <c r="H147" s="574"/>
      <c r="I147" s="574"/>
      <c r="J147" s="574"/>
      <c r="K147" s="574"/>
      <c r="L147" s="574"/>
      <c r="M147" s="574"/>
      <c r="N147" s="574"/>
      <c r="O147" s="574"/>
      <c r="P147" s="574"/>
      <c r="Q147" s="574"/>
      <c r="R147" s="574"/>
      <c r="S147" s="574"/>
      <c r="T147" s="574"/>
      <c r="U147" s="574"/>
      <c r="V147" s="574"/>
      <c r="W147" s="574"/>
    </row>
    <row r="148" ht="12.0" customHeight="1">
      <c r="A148" s="664"/>
      <c r="B148" s="664"/>
      <c r="C148" s="574"/>
      <c r="D148" s="574"/>
      <c r="E148" s="574"/>
      <c r="F148" s="574"/>
      <c r="G148" s="574"/>
      <c r="H148" s="574"/>
      <c r="I148" s="574"/>
      <c r="J148" s="574"/>
      <c r="K148" s="574"/>
      <c r="L148" s="574"/>
      <c r="M148" s="574"/>
      <c r="N148" s="574"/>
      <c r="O148" s="574"/>
      <c r="P148" s="574"/>
      <c r="Q148" s="574"/>
      <c r="R148" s="574"/>
      <c r="S148" s="574"/>
      <c r="T148" s="574"/>
      <c r="U148" s="574"/>
      <c r="V148" s="574"/>
      <c r="W148" s="574"/>
    </row>
    <row r="149" ht="12.0" customHeight="1">
      <c r="A149" s="664"/>
      <c r="B149" s="664"/>
      <c r="C149" s="574"/>
      <c r="D149" s="574"/>
      <c r="E149" s="574"/>
      <c r="F149" s="574"/>
      <c r="G149" s="574"/>
      <c r="H149" s="574"/>
      <c r="I149" s="574"/>
      <c r="J149" s="574"/>
      <c r="K149" s="574"/>
      <c r="L149" s="574"/>
      <c r="M149" s="574"/>
      <c r="N149" s="574"/>
      <c r="O149" s="574"/>
      <c r="P149" s="574"/>
      <c r="Q149" s="574"/>
      <c r="R149" s="574"/>
      <c r="S149" s="574"/>
      <c r="T149" s="574"/>
      <c r="U149" s="574"/>
      <c r="V149" s="574"/>
      <c r="W149" s="574"/>
    </row>
    <row r="150" ht="12.0" customHeight="1">
      <c r="A150" s="664"/>
      <c r="B150" s="664"/>
      <c r="C150" s="574"/>
      <c r="D150" s="574"/>
      <c r="E150" s="574"/>
      <c r="F150" s="574"/>
      <c r="G150" s="574"/>
      <c r="H150" s="574"/>
      <c r="I150" s="574"/>
      <c r="J150" s="574"/>
      <c r="K150" s="574"/>
      <c r="L150" s="574"/>
      <c r="M150" s="574"/>
      <c r="N150" s="574"/>
      <c r="O150" s="574"/>
      <c r="P150" s="574"/>
      <c r="Q150" s="574"/>
      <c r="R150" s="574"/>
      <c r="S150" s="574"/>
      <c r="T150" s="574"/>
      <c r="U150" s="574"/>
      <c r="V150" s="574"/>
      <c r="W150" s="574"/>
    </row>
    <row r="151" ht="12.0" customHeight="1">
      <c r="A151" s="664"/>
      <c r="B151" s="664"/>
      <c r="C151" s="574"/>
      <c r="D151" s="574"/>
      <c r="E151" s="574"/>
      <c r="F151" s="574"/>
      <c r="G151" s="574"/>
      <c r="H151" s="574"/>
      <c r="I151" s="574"/>
      <c r="J151" s="574"/>
      <c r="K151" s="574"/>
      <c r="L151" s="574"/>
      <c r="M151" s="574"/>
      <c r="N151" s="574"/>
      <c r="O151" s="574"/>
      <c r="P151" s="574"/>
      <c r="Q151" s="574"/>
      <c r="R151" s="574"/>
      <c r="S151" s="574"/>
      <c r="T151" s="574"/>
      <c r="U151" s="574"/>
      <c r="V151" s="574"/>
      <c r="W151" s="574"/>
    </row>
    <row r="152" ht="12.0" customHeight="1">
      <c r="A152" s="664"/>
      <c r="B152" s="664"/>
      <c r="C152" s="574"/>
      <c r="D152" s="574"/>
      <c r="E152" s="574"/>
      <c r="F152" s="574"/>
      <c r="G152" s="574"/>
      <c r="H152" s="574"/>
      <c r="I152" s="574"/>
      <c r="J152" s="574"/>
      <c r="K152" s="574"/>
      <c r="L152" s="574"/>
      <c r="M152" s="574"/>
      <c r="N152" s="574"/>
      <c r="O152" s="574"/>
      <c r="P152" s="574"/>
      <c r="Q152" s="574"/>
      <c r="R152" s="574"/>
      <c r="S152" s="574"/>
      <c r="T152" s="574"/>
      <c r="U152" s="574"/>
      <c r="V152" s="574"/>
      <c r="W152" s="574"/>
    </row>
    <row r="153" ht="12.0" customHeight="1">
      <c r="A153" s="664"/>
      <c r="B153" s="664"/>
      <c r="C153" s="574"/>
      <c r="D153" s="574"/>
      <c r="E153" s="574"/>
      <c r="F153" s="574"/>
      <c r="G153" s="574"/>
      <c r="H153" s="574"/>
      <c r="I153" s="574"/>
      <c r="J153" s="574"/>
      <c r="K153" s="574"/>
      <c r="L153" s="574"/>
      <c r="M153" s="574"/>
      <c r="N153" s="574"/>
      <c r="O153" s="574"/>
      <c r="P153" s="574"/>
      <c r="Q153" s="574"/>
      <c r="R153" s="574"/>
      <c r="S153" s="574"/>
      <c r="T153" s="574"/>
      <c r="U153" s="574"/>
      <c r="V153" s="574"/>
      <c r="W153" s="574"/>
    </row>
    <row r="154" ht="12.0" customHeight="1">
      <c r="A154" s="664"/>
      <c r="B154" s="664"/>
      <c r="C154" s="574"/>
      <c r="D154" s="574"/>
      <c r="E154" s="574"/>
      <c r="F154" s="574"/>
      <c r="G154" s="574"/>
      <c r="H154" s="574"/>
      <c r="I154" s="574"/>
      <c r="J154" s="574"/>
      <c r="K154" s="574"/>
      <c r="L154" s="574"/>
      <c r="M154" s="574"/>
      <c r="N154" s="574"/>
      <c r="O154" s="574"/>
      <c r="P154" s="574"/>
      <c r="Q154" s="574"/>
      <c r="R154" s="574"/>
      <c r="S154" s="574"/>
      <c r="T154" s="574"/>
      <c r="U154" s="574"/>
      <c r="V154" s="574"/>
      <c r="W154" s="574"/>
    </row>
    <row r="155" ht="12.0" customHeight="1">
      <c r="A155" s="664"/>
      <c r="B155" s="664"/>
      <c r="C155" s="574"/>
      <c r="D155" s="574"/>
      <c r="E155" s="574"/>
      <c r="F155" s="574"/>
      <c r="G155" s="574"/>
      <c r="H155" s="574"/>
      <c r="I155" s="574"/>
      <c r="J155" s="574"/>
      <c r="K155" s="574"/>
      <c r="L155" s="574"/>
      <c r="M155" s="574"/>
      <c r="N155" s="574"/>
      <c r="O155" s="574"/>
      <c r="P155" s="574"/>
      <c r="Q155" s="574"/>
      <c r="R155" s="574"/>
      <c r="S155" s="574"/>
      <c r="T155" s="574"/>
      <c r="U155" s="574"/>
      <c r="V155" s="574"/>
      <c r="W155" s="574"/>
    </row>
    <row r="156" ht="12.0" customHeight="1">
      <c r="A156" s="664"/>
      <c r="B156" s="664"/>
      <c r="C156" s="574"/>
      <c r="D156" s="574"/>
      <c r="E156" s="574"/>
      <c r="F156" s="574"/>
      <c r="G156" s="574"/>
      <c r="H156" s="574"/>
      <c r="I156" s="574"/>
      <c r="J156" s="574"/>
      <c r="K156" s="574"/>
      <c r="L156" s="574"/>
      <c r="M156" s="574"/>
      <c r="N156" s="574"/>
      <c r="O156" s="574"/>
      <c r="P156" s="574"/>
      <c r="Q156" s="574"/>
      <c r="R156" s="574"/>
      <c r="S156" s="574"/>
      <c r="T156" s="574"/>
      <c r="U156" s="574"/>
      <c r="V156" s="574"/>
      <c r="W156" s="574"/>
    </row>
    <row r="157" ht="12.0" customHeight="1">
      <c r="A157" s="664"/>
      <c r="B157" s="664"/>
      <c r="C157" s="574"/>
      <c r="D157" s="574"/>
      <c r="E157" s="574"/>
      <c r="F157" s="574"/>
      <c r="G157" s="574"/>
      <c r="H157" s="574"/>
      <c r="I157" s="574"/>
      <c r="J157" s="574"/>
      <c r="K157" s="574"/>
      <c r="L157" s="574"/>
      <c r="M157" s="574"/>
      <c r="N157" s="574"/>
      <c r="O157" s="574"/>
      <c r="P157" s="574"/>
      <c r="Q157" s="574"/>
      <c r="R157" s="574"/>
      <c r="S157" s="574"/>
      <c r="T157" s="574"/>
      <c r="U157" s="574"/>
      <c r="V157" s="574"/>
      <c r="W157" s="574"/>
    </row>
    <row r="158" ht="12.0" customHeight="1">
      <c r="A158" s="664"/>
      <c r="B158" s="664"/>
      <c r="C158" s="574"/>
      <c r="D158" s="574"/>
      <c r="E158" s="574"/>
      <c r="F158" s="574"/>
      <c r="G158" s="574"/>
      <c r="H158" s="574"/>
      <c r="I158" s="574"/>
      <c r="J158" s="574"/>
      <c r="K158" s="574"/>
      <c r="L158" s="574"/>
      <c r="M158" s="574"/>
      <c r="N158" s="574"/>
      <c r="O158" s="574"/>
      <c r="P158" s="574"/>
      <c r="Q158" s="574"/>
      <c r="R158" s="574"/>
      <c r="S158" s="574"/>
      <c r="T158" s="574"/>
      <c r="U158" s="574"/>
      <c r="V158" s="574"/>
      <c r="W158" s="574"/>
    </row>
    <row r="159" ht="12.0" customHeight="1">
      <c r="A159" s="664"/>
      <c r="B159" s="664"/>
      <c r="C159" s="574"/>
      <c r="D159" s="574"/>
      <c r="E159" s="574"/>
      <c r="F159" s="574"/>
      <c r="G159" s="574"/>
      <c r="H159" s="574"/>
      <c r="I159" s="574"/>
      <c r="J159" s="574"/>
      <c r="K159" s="574"/>
      <c r="L159" s="574"/>
      <c r="M159" s="574"/>
      <c r="N159" s="574"/>
      <c r="O159" s="574"/>
      <c r="P159" s="574"/>
      <c r="Q159" s="574"/>
      <c r="R159" s="574"/>
      <c r="S159" s="574"/>
      <c r="T159" s="574"/>
      <c r="U159" s="574"/>
      <c r="V159" s="574"/>
      <c r="W159" s="574"/>
    </row>
    <row r="160" ht="12.0" customHeight="1">
      <c r="A160" s="664"/>
      <c r="B160" s="66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</row>
    <row r="161" ht="12.0" customHeight="1">
      <c r="A161" s="664"/>
      <c r="B161" s="664"/>
      <c r="C161" s="574"/>
      <c r="D161" s="574"/>
      <c r="E161" s="574"/>
      <c r="F161" s="574"/>
      <c r="G161" s="574"/>
      <c r="H161" s="574"/>
      <c r="I161" s="574"/>
      <c r="J161" s="574"/>
      <c r="K161" s="574"/>
      <c r="L161" s="574"/>
      <c r="M161" s="574"/>
      <c r="N161" s="574"/>
      <c r="O161" s="574"/>
      <c r="P161" s="574"/>
      <c r="Q161" s="574"/>
      <c r="R161" s="574"/>
      <c r="S161" s="574"/>
      <c r="T161" s="574"/>
      <c r="U161" s="574"/>
      <c r="V161" s="574"/>
      <c r="W161" s="574"/>
    </row>
    <row r="162" ht="12.0" customHeight="1">
      <c r="A162" s="664"/>
      <c r="B162" s="664"/>
      <c r="C162" s="574"/>
      <c r="D162" s="574"/>
      <c r="E162" s="574"/>
      <c r="F162" s="574"/>
      <c r="G162" s="574"/>
      <c r="H162" s="574"/>
      <c r="I162" s="574"/>
      <c r="J162" s="574"/>
      <c r="K162" s="574"/>
      <c r="L162" s="574"/>
      <c r="M162" s="574"/>
      <c r="N162" s="574"/>
      <c r="O162" s="574"/>
      <c r="P162" s="574"/>
      <c r="Q162" s="574"/>
      <c r="R162" s="574"/>
      <c r="S162" s="574"/>
      <c r="T162" s="574"/>
      <c r="U162" s="574"/>
      <c r="V162" s="574"/>
      <c r="W162" s="574"/>
    </row>
    <row r="163" ht="12.0" customHeight="1">
      <c r="A163" s="664"/>
      <c r="B163" s="66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4"/>
      <c r="N163" s="574"/>
      <c r="O163" s="574"/>
      <c r="P163" s="574"/>
      <c r="Q163" s="574"/>
      <c r="R163" s="574"/>
      <c r="S163" s="574"/>
      <c r="T163" s="574"/>
      <c r="U163" s="574"/>
      <c r="V163" s="574"/>
      <c r="W163" s="574"/>
    </row>
    <row r="164" ht="12.0" customHeight="1">
      <c r="A164" s="664"/>
      <c r="B164" s="664"/>
      <c r="C164" s="574"/>
      <c r="D164" s="574"/>
      <c r="E164" s="574"/>
      <c r="F164" s="574"/>
      <c r="G164" s="574"/>
      <c r="H164" s="574"/>
      <c r="I164" s="574"/>
      <c r="J164" s="574"/>
      <c r="K164" s="574"/>
      <c r="L164" s="574"/>
      <c r="M164" s="574"/>
      <c r="N164" s="574"/>
      <c r="O164" s="574"/>
      <c r="P164" s="574"/>
      <c r="Q164" s="574"/>
      <c r="R164" s="574"/>
      <c r="S164" s="574"/>
      <c r="T164" s="574"/>
      <c r="U164" s="574"/>
      <c r="V164" s="574"/>
      <c r="W164" s="574"/>
    </row>
    <row r="165" ht="12.0" customHeight="1">
      <c r="A165" s="664"/>
      <c r="B165" s="664"/>
      <c r="C165" s="574"/>
      <c r="D165" s="574"/>
      <c r="E165" s="574"/>
      <c r="F165" s="574"/>
      <c r="G165" s="574"/>
      <c r="H165" s="574"/>
      <c r="I165" s="574"/>
      <c r="J165" s="574"/>
      <c r="K165" s="574"/>
      <c r="L165" s="574"/>
      <c r="M165" s="574"/>
      <c r="N165" s="574"/>
      <c r="O165" s="574"/>
      <c r="P165" s="574"/>
      <c r="Q165" s="574"/>
      <c r="R165" s="574"/>
      <c r="S165" s="574"/>
      <c r="T165" s="574"/>
      <c r="U165" s="574"/>
      <c r="V165" s="574"/>
      <c r="W165" s="574"/>
    </row>
    <row r="166" ht="12.0" customHeight="1">
      <c r="A166" s="664"/>
      <c r="B166" s="664"/>
      <c r="C166" s="574"/>
      <c r="D166" s="574"/>
      <c r="E166" s="574"/>
      <c r="F166" s="574"/>
      <c r="G166" s="574"/>
      <c r="H166" s="574"/>
      <c r="I166" s="574"/>
      <c r="J166" s="574"/>
      <c r="K166" s="574"/>
      <c r="L166" s="574"/>
      <c r="M166" s="574"/>
      <c r="N166" s="574"/>
      <c r="O166" s="574"/>
      <c r="P166" s="574"/>
      <c r="Q166" s="574"/>
      <c r="R166" s="574"/>
      <c r="S166" s="574"/>
      <c r="T166" s="574"/>
      <c r="U166" s="574"/>
      <c r="V166" s="574"/>
      <c r="W166" s="574"/>
    </row>
    <row r="167" ht="12.0" customHeight="1">
      <c r="A167" s="664"/>
      <c r="B167" s="664"/>
      <c r="C167" s="574"/>
      <c r="D167" s="574"/>
      <c r="E167" s="574"/>
      <c r="F167" s="574"/>
      <c r="G167" s="574"/>
      <c r="H167" s="574"/>
      <c r="I167" s="574"/>
      <c r="J167" s="574"/>
      <c r="K167" s="574"/>
      <c r="L167" s="574"/>
      <c r="M167" s="574"/>
      <c r="N167" s="574"/>
      <c r="O167" s="574"/>
      <c r="P167" s="574"/>
      <c r="Q167" s="574"/>
      <c r="R167" s="574"/>
      <c r="S167" s="574"/>
      <c r="T167" s="574"/>
      <c r="U167" s="574"/>
      <c r="V167" s="574"/>
      <c r="W167" s="574"/>
    </row>
    <row r="168" ht="12.0" customHeight="1">
      <c r="A168" s="664"/>
      <c r="B168" s="664"/>
      <c r="C168" s="574"/>
      <c r="D168" s="574"/>
      <c r="E168" s="574"/>
      <c r="F168" s="574"/>
      <c r="G168" s="574"/>
      <c r="H168" s="574"/>
      <c r="I168" s="574"/>
      <c r="J168" s="574"/>
      <c r="K168" s="574"/>
      <c r="L168" s="574"/>
      <c r="M168" s="574"/>
      <c r="N168" s="574"/>
      <c r="O168" s="574"/>
      <c r="P168" s="574"/>
      <c r="Q168" s="574"/>
      <c r="R168" s="574"/>
      <c r="S168" s="574"/>
      <c r="T168" s="574"/>
      <c r="U168" s="574"/>
      <c r="V168" s="574"/>
      <c r="W168" s="574"/>
    </row>
    <row r="169" ht="12.0" customHeight="1">
      <c r="A169" s="664"/>
      <c r="B169" s="664"/>
      <c r="C169" s="574"/>
      <c r="D169" s="574"/>
      <c r="E169" s="574"/>
      <c r="F169" s="574"/>
      <c r="G169" s="574"/>
      <c r="H169" s="574"/>
      <c r="I169" s="574"/>
      <c r="J169" s="574"/>
      <c r="K169" s="574"/>
      <c r="L169" s="574"/>
      <c r="M169" s="574"/>
      <c r="N169" s="574"/>
      <c r="O169" s="574"/>
      <c r="P169" s="574"/>
      <c r="Q169" s="574"/>
      <c r="R169" s="574"/>
      <c r="S169" s="574"/>
      <c r="T169" s="574"/>
      <c r="U169" s="574"/>
      <c r="V169" s="574"/>
      <c r="W169" s="574"/>
    </row>
    <row r="170" ht="12.0" customHeight="1">
      <c r="A170" s="664"/>
      <c r="B170" s="664"/>
      <c r="C170" s="574"/>
      <c r="D170" s="574"/>
      <c r="E170" s="574"/>
      <c r="F170" s="574"/>
      <c r="G170" s="574"/>
      <c r="H170" s="574"/>
      <c r="I170" s="574"/>
      <c r="J170" s="574"/>
      <c r="K170" s="574"/>
      <c r="L170" s="574"/>
      <c r="M170" s="574"/>
      <c r="N170" s="574"/>
      <c r="O170" s="574"/>
      <c r="P170" s="574"/>
      <c r="Q170" s="574"/>
      <c r="R170" s="574"/>
      <c r="S170" s="574"/>
      <c r="T170" s="574"/>
      <c r="U170" s="574"/>
      <c r="V170" s="574"/>
      <c r="W170" s="574"/>
    </row>
    <row r="171" ht="12.0" customHeight="1">
      <c r="A171" s="664"/>
      <c r="B171" s="664"/>
      <c r="C171" s="574"/>
      <c r="D171" s="574"/>
      <c r="E171" s="574"/>
      <c r="F171" s="574"/>
      <c r="G171" s="574"/>
      <c r="H171" s="574"/>
      <c r="I171" s="574"/>
      <c r="J171" s="574"/>
      <c r="K171" s="574"/>
      <c r="L171" s="574"/>
      <c r="M171" s="574"/>
      <c r="N171" s="574"/>
      <c r="O171" s="574"/>
      <c r="P171" s="574"/>
      <c r="Q171" s="574"/>
      <c r="R171" s="574"/>
      <c r="S171" s="574"/>
      <c r="T171" s="574"/>
      <c r="U171" s="574"/>
      <c r="V171" s="574"/>
      <c r="W171" s="574"/>
    </row>
    <row r="172" ht="12.0" customHeight="1">
      <c r="A172" s="664"/>
      <c r="B172" s="664"/>
      <c r="C172" s="574"/>
      <c r="D172" s="574"/>
      <c r="E172" s="574"/>
      <c r="F172" s="574"/>
      <c r="G172" s="574"/>
      <c r="H172" s="574"/>
      <c r="I172" s="574"/>
      <c r="J172" s="574"/>
      <c r="K172" s="574"/>
      <c r="L172" s="574"/>
      <c r="M172" s="574"/>
      <c r="N172" s="574"/>
      <c r="O172" s="574"/>
      <c r="P172" s="574"/>
      <c r="Q172" s="574"/>
      <c r="R172" s="574"/>
      <c r="S172" s="574"/>
      <c r="T172" s="574"/>
      <c r="U172" s="574"/>
      <c r="V172" s="574"/>
      <c r="W172" s="574"/>
    </row>
    <row r="173" ht="12.0" customHeight="1">
      <c r="A173" s="664"/>
      <c r="B173" s="664"/>
      <c r="C173" s="574"/>
      <c r="D173" s="574"/>
      <c r="E173" s="574"/>
      <c r="F173" s="574"/>
      <c r="G173" s="574"/>
      <c r="H173" s="574"/>
      <c r="I173" s="574"/>
      <c r="J173" s="574"/>
      <c r="K173" s="574"/>
      <c r="L173" s="574"/>
      <c r="M173" s="574"/>
      <c r="N173" s="574"/>
      <c r="O173" s="574"/>
      <c r="P173" s="574"/>
      <c r="Q173" s="574"/>
      <c r="R173" s="574"/>
      <c r="S173" s="574"/>
      <c r="T173" s="574"/>
      <c r="U173" s="574"/>
      <c r="V173" s="574"/>
      <c r="W173" s="574"/>
    </row>
    <row r="174" ht="12.0" customHeight="1">
      <c r="A174" s="664"/>
      <c r="B174" s="664"/>
      <c r="C174" s="574"/>
      <c r="D174" s="574"/>
      <c r="E174" s="574"/>
      <c r="F174" s="574"/>
      <c r="G174" s="574"/>
      <c r="H174" s="574"/>
      <c r="I174" s="574"/>
      <c r="J174" s="574"/>
      <c r="K174" s="574"/>
      <c r="L174" s="574"/>
      <c r="M174" s="574"/>
      <c r="N174" s="574"/>
      <c r="O174" s="574"/>
      <c r="P174" s="574"/>
      <c r="Q174" s="574"/>
      <c r="R174" s="574"/>
      <c r="S174" s="574"/>
      <c r="T174" s="574"/>
      <c r="U174" s="574"/>
      <c r="V174" s="574"/>
      <c r="W174" s="574"/>
    </row>
    <row r="175" ht="12.0" customHeight="1">
      <c r="A175" s="664"/>
      <c r="B175" s="664"/>
      <c r="C175" s="574"/>
      <c r="D175" s="574"/>
      <c r="E175" s="574"/>
      <c r="F175" s="574"/>
      <c r="G175" s="574"/>
      <c r="H175" s="574"/>
      <c r="I175" s="574"/>
      <c r="J175" s="574"/>
      <c r="K175" s="574"/>
      <c r="L175" s="574"/>
      <c r="M175" s="574"/>
      <c r="N175" s="574"/>
      <c r="O175" s="574"/>
      <c r="P175" s="574"/>
      <c r="Q175" s="574"/>
      <c r="R175" s="574"/>
      <c r="S175" s="574"/>
      <c r="T175" s="574"/>
      <c r="U175" s="574"/>
      <c r="V175" s="574"/>
      <c r="W175" s="574"/>
    </row>
    <row r="176" ht="12.0" customHeight="1">
      <c r="A176" s="664"/>
      <c r="B176" s="664"/>
      <c r="C176" s="574"/>
      <c r="D176" s="574"/>
      <c r="E176" s="574"/>
      <c r="F176" s="574"/>
      <c r="G176" s="574"/>
      <c r="H176" s="574"/>
      <c r="I176" s="574"/>
      <c r="J176" s="574"/>
      <c r="K176" s="574"/>
      <c r="L176" s="574"/>
      <c r="M176" s="574"/>
      <c r="N176" s="574"/>
      <c r="O176" s="574"/>
      <c r="P176" s="574"/>
      <c r="Q176" s="574"/>
      <c r="R176" s="574"/>
      <c r="S176" s="574"/>
      <c r="T176" s="574"/>
      <c r="U176" s="574"/>
      <c r="V176" s="574"/>
      <c r="W176" s="574"/>
    </row>
    <row r="177" ht="12.0" customHeight="1">
      <c r="A177" s="664"/>
      <c r="B177" s="664"/>
      <c r="C177" s="574"/>
      <c r="D177" s="574"/>
      <c r="E177" s="574"/>
      <c r="F177" s="574"/>
      <c r="G177" s="574"/>
      <c r="H177" s="574"/>
      <c r="I177" s="574"/>
      <c r="J177" s="574"/>
      <c r="K177" s="574"/>
      <c r="L177" s="574"/>
      <c r="M177" s="574"/>
      <c r="N177" s="574"/>
      <c r="O177" s="574"/>
      <c r="P177" s="574"/>
      <c r="Q177" s="574"/>
      <c r="R177" s="574"/>
      <c r="S177" s="574"/>
      <c r="T177" s="574"/>
      <c r="U177" s="574"/>
      <c r="V177" s="574"/>
      <c r="W177" s="574"/>
    </row>
    <row r="178" ht="12.0" customHeight="1">
      <c r="A178" s="664"/>
      <c r="B178" s="664"/>
      <c r="C178" s="574"/>
      <c r="D178" s="574"/>
      <c r="E178" s="574"/>
      <c r="F178" s="574"/>
      <c r="G178" s="574"/>
      <c r="H178" s="574"/>
      <c r="I178" s="574"/>
      <c r="J178" s="574"/>
      <c r="K178" s="574"/>
      <c r="L178" s="574"/>
      <c r="M178" s="574"/>
      <c r="N178" s="574"/>
      <c r="O178" s="574"/>
      <c r="P178" s="574"/>
      <c r="Q178" s="574"/>
      <c r="R178" s="574"/>
      <c r="S178" s="574"/>
      <c r="T178" s="574"/>
      <c r="U178" s="574"/>
      <c r="V178" s="574"/>
      <c r="W178" s="574"/>
    </row>
    <row r="179" ht="12.0" customHeight="1">
      <c r="A179" s="664"/>
      <c r="B179" s="664"/>
      <c r="C179" s="574"/>
      <c r="D179" s="574"/>
      <c r="E179" s="574"/>
      <c r="F179" s="574"/>
      <c r="G179" s="574"/>
      <c r="H179" s="574"/>
      <c r="I179" s="574"/>
      <c r="J179" s="574"/>
      <c r="K179" s="574"/>
      <c r="L179" s="574"/>
      <c r="M179" s="574"/>
      <c r="N179" s="574"/>
      <c r="O179" s="574"/>
      <c r="P179" s="574"/>
      <c r="Q179" s="574"/>
      <c r="R179" s="574"/>
      <c r="S179" s="574"/>
      <c r="T179" s="574"/>
      <c r="U179" s="574"/>
      <c r="V179" s="574"/>
      <c r="W179" s="574"/>
    </row>
    <row r="180" ht="12.0" customHeight="1">
      <c r="A180" s="664"/>
      <c r="B180" s="664"/>
      <c r="C180" s="574"/>
      <c r="D180" s="574"/>
      <c r="E180" s="574"/>
      <c r="F180" s="574"/>
      <c r="G180" s="574"/>
      <c r="H180" s="574"/>
      <c r="I180" s="574"/>
      <c r="J180" s="574"/>
      <c r="K180" s="574"/>
      <c r="L180" s="574"/>
      <c r="M180" s="574"/>
      <c r="N180" s="574"/>
      <c r="O180" s="574"/>
      <c r="P180" s="574"/>
      <c r="Q180" s="574"/>
      <c r="R180" s="574"/>
      <c r="S180" s="574"/>
      <c r="T180" s="574"/>
      <c r="U180" s="574"/>
      <c r="V180" s="574"/>
      <c r="W180" s="574"/>
    </row>
    <row r="181" ht="12.0" customHeight="1">
      <c r="A181" s="664"/>
      <c r="B181" s="664"/>
      <c r="C181" s="574"/>
      <c r="D181" s="574"/>
      <c r="E181" s="574"/>
      <c r="F181" s="574"/>
      <c r="G181" s="574"/>
      <c r="H181" s="574"/>
      <c r="I181" s="574"/>
      <c r="J181" s="574"/>
      <c r="K181" s="574"/>
      <c r="L181" s="574"/>
      <c r="M181" s="574"/>
      <c r="N181" s="574"/>
      <c r="O181" s="574"/>
      <c r="P181" s="574"/>
      <c r="Q181" s="574"/>
      <c r="R181" s="574"/>
      <c r="S181" s="574"/>
      <c r="T181" s="574"/>
      <c r="U181" s="574"/>
      <c r="V181" s="574"/>
      <c r="W181" s="574"/>
    </row>
    <row r="182" ht="12.0" customHeight="1">
      <c r="A182" s="664"/>
      <c r="B182" s="664"/>
      <c r="C182" s="574"/>
      <c r="D182" s="574"/>
      <c r="E182" s="574"/>
      <c r="F182" s="574"/>
      <c r="G182" s="574"/>
      <c r="H182" s="574"/>
      <c r="I182" s="574"/>
      <c r="J182" s="574"/>
      <c r="K182" s="574"/>
      <c r="L182" s="574"/>
      <c r="M182" s="574"/>
      <c r="N182" s="574"/>
      <c r="O182" s="574"/>
      <c r="P182" s="574"/>
      <c r="Q182" s="574"/>
      <c r="R182" s="574"/>
      <c r="S182" s="574"/>
      <c r="T182" s="574"/>
      <c r="U182" s="574"/>
      <c r="V182" s="574"/>
      <c r="W182" s="574"/>
    </row>
    <row r="183" ht="12.0" customHeight="1">
      <c r="A183" s="664"/>
      <c r="B183" s="66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4"/>
      <c r="N183" s="574"/>
      <c r="O183" s="574"/>
      <c r="P183" s="574"/>
      <c r="Q183" s="574"/>
      <c r="R183" s="574"/>
      <c r="S183" s="574"/>
      <c r="T183" s="574"/>
      <c r="U183" s="574"/>
      <c r="V183" s="574"/>
      <c r="W183" s="574"/>
    </row>
    <row r="184" ht="12.0" customHeight="1">
      <c r="A184" s="664"/>
      <c r="B184" s="664"/>
      <c r="C184" s="574"/>
      <c r="D184" s="574"/>
      <c r="E184" s="574"/>
      <c r="F184" s="574"/>
      <c r="G184" s="574"/>
      <c r="H184" s="574"/>
      <c r="I184" s="574"/>
      <c r="J184" s="574"/>
      <c r="K184" s="574"/>
      <c r="L184" s="574"/>
      <c r="M184" s="574"/>
      <c r="N184" s="574"/>
      <c r="O184" s="574"/>
      <c r="P184" s="574"/>
      <c r="Q184" s="574"/>
      <c r="R184" s="574"/>
      <c r="S184" s="574"/>
      <c r="T184" s="574"/>
      <c r="U184" s="574"/>
      <c r="V184" s="574"/>
      <c r="W184" s="574"/>
    </row>
    <row r="185" ht="12.0" customHeight="1">
      <c r="A185" s="664"/>
      <c r="B185" s="664"/>
      <c r="C185" s="574"/>
      <c r="D185" s="574"/>
      <c r="E185" s="574"/>
      <c r="F185" s="574"/>
      <c r="G185" s="574"/>
      <c r="H185" s="574"/>
      <c r="I185" s="574"/>
      <c r="J185" s="574"/>
      <c r="K185" s="574"/>
      <c r="L185" s="574"/>
      <c r="M185" s="574"/>
      <c r="N185" s="574"/>
      <c r="O185" s="574"/>
      <c r="P185" s="574"/>
      <c r="Q185" s="574"/>
      <c r="R185" s="574"/>
      <c r="S185" s="574"/>
      <c r="T185" s="574"/>
      <c r="U185" s="574"/>
      <c r="V185" s="574"/>
      <c r="W185" s="574"/>
    </row>
    <row r="186" ht="12.0" customHeight="1">
      <c r="A186" s="664"/>
      <c r="B186" s="664"/>
      <c r="C186" s="574"/>
      <c r="D186" s="574"/>
      <c r="E186" s="574"/>
      <c r="F186" s="574"/>
      <c r="G186" s="574"/>
      <c r="H186" s="574"/>
      <c r="I186" s="574"/>
      <c r="J186" s="574"/>
      <c r="K186" s="574"/>
      <c r="L186" s="574"/>
      <c r="M186" s="574"/>
      <c r="N186" s="574"/>
      <c r="O186" s="574"/>
      <c r="P186" s="574"/>
      <c r="Q186" s="574"/>
      <c r="R186" s="574"/>
      <c r="S186" s="574"/>
      <c r="T186" s="574"/>
      <c r="U186" s="574"/>
      <c r="V186" s="574"/>
      <c r="W186" s="574"/>
    </row>
    <row r="187" ht="12.0" customHeight="1">
      <c r="A187" s="664"/>
      <c r="B187" s="664"/>
      <c r="C187" s="574"/>
      <c r="D187" s="574"/>
      <c r="E187" s="574"/>
      <c r="F187" s="574"/>
      <c r="G187" s="574"/>
      <c r="H187" s="574"/>
      <c r="I187" s="574"/>
      <c r="J187" s="574"/>
      <c r="K187" s="574"/>
      <c r="L187" s="574"/>
      <c r="M187" s="574"/>
      <c r="N187" s="574"/>
      <c r="O187" s="574"/>
      <c r="P187" s="574"/>
      <c r="Q187" s="574"/>
      <c r="R187" s="574"/>
      <c r="S187" s="574"/>
      <c r="T187" s="574"/>
      <c r="U187" s="574"/>
      <c r="V187" s="574"/>
      <c r="W187" s="574"/>
    </row>
    <row r="188" ht="12.0" customHeight="1">
      <c r="A188" s="664"/>
      <c r="B188" s="664"/>
      <c r="C188" s="574"/>
      <c r="D188" s="574"/>
      <c r="E188" s="574"/>
      <c r="F188" s="574"/>
      <c r="G188" s="574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4"/>
      <c r="W188" s="574"/>
    </row>
    <row r="189" ht="12.0" customHeight="1">
      <c r="A189" s="664"/>
      <c r="B189" s="664"/>
      <c r="C189" s="574"/>
      <c r="D189" s="574"/>
      <c r="E189" s="574"/>
      <c r="F189" s="574"/>
      <c r="G189" s="574"/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4"/>
      <c r="W189" s="574"/>
    </row>
    <row r="190" ht="12.0" customHeight="1">
      <c r="A190" s="664"/>
      <c r="B190" s="664"/>
      <c r="C190" s="574"/>
      <c r="D190" s="574"/>
      <c r="E190" s="574"/>
      <c r="F190" s="574"/>
      <c r="G190" s="574"/>
      <c r="H190" s="574"/>
      <c r="I190" s="574"/>
      <c r="J190" s="574"/>
      <c r="K190" s="574"/>
      <c r="L190" s="574"/>
      <c r="M190" s="574"/>
      <c r="N190" s="574"/>
      <c r="O190" s="574"/>
      <c r="P190" s="574"/>
      <c r="Q190" s="574"/>
      <c r="R190" s="574"/>
      <c r="S190" s="574"/>
      <c r="T190" s="574"/>
      <c r="U190" s="574"/>
      <c r="V190" s="574"/>
      <c r="W190" s="574"/>
    </row>
    <row r="191" ht="12.0" customHeight="1">
      <c r="A191" s="664"/>
      <c r="B191" s="664"/>
      <c r="C191" s="574"/>
      <c r="D191" s="574"/>
      <c r="E191" s="574"/>
      <c r="F191" s="574"/>
      <c r="G191" s="574"/>
      <c r="H191" s="574"/>
      <c r="I191" s="574"/>
      <c r="J191" s="574"/>
      <c r="K191" s="574"/>
      <c r="L191" s="574"/>
      <c r="M191" s="574"/>
      <c r="N191" s="574"/>
      <c r="O191" s="574"/>
      <c r="P191" s="574"/>
      <c r="Q191" s="574"/>
      <c r="R191" s="574"/>
      <c r="S191" s="574"/>
      <c r="T191" s="574"/>
      <c r="U191" s="574"/>
      <c r="V191" s="574"/>
      <c r="W191" s="574"/>
    </row>
    <row r="192" ht="12.0" customHeight="1">
      <c r="A192" s="664"/>
      <c r="B192" s="664"/>
      <c r="C192" s="574"/>
      <c r="D192" s="574"/>
      <c r="E192" s="574"/>
      <c r="F192" s="574"/>
      <c r="G192" s="574"/>
      <c r="H192" s="574"/>
      <c r="I192" s="574"/>
      <c r="J192" s="574"/>
      <c r="K192" s="574"/>
      <c r="L192" s="574"/>
      <c r="M192" s="574"/>
      <c r="N192" s="574"/>
      <c r="O192" s="574"/>
      <c r="P192" s="574"/>
      <c r="Q192" s="574"/>
      <c r="R192" s="574"/>
      <c r="S192" s="574"/>
      <c r="T192" s="574"/>
      <c r="U192" s="574"/>
      <c r="V192" s="574"/>
      <c r="W192" s="574"/>
    </row>
    <row r="193" ht="12.0" customHeight="1">
      <c r="A193" s="664"/>
      <c r="B193" s="664"/>
      <c r="C193" s="574"/>
      <c r="D193" s="574"/>
      <c r="E193" s="574"/>
      <c r="F193" s="574"/>
      <c r="G193" s="574"/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4"/>
      <c r="W193" s="574"/>
    </row>
    <row r="194" ht="12.0" customHeight="1">
      <c r="A194" s="664"/>
      <c r="B194" s="664"/>
      <c r="C194" s="574"/>
      <c r="D194" s="574"/>
      <c r="E194" s="574"/>
      <c r="F194" s="574"/>
      <c r="G194" s="574"/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4"/>
      <c r="W194" s="574"/>
    </row>
    <row r="195" ht="12.0" customHeight="1">
      <c r="A195" s="664"/>
      <c r="B195" s="664"/>
      <c r="C195" s="574"/>
      <c r="D195" s="574"/>
      <c r="E195" s="574"/>
      <c r="F195" s="574"/>
      <c r="G195" s="574"/>
      <c r="H195" s="574"/>
      <c r="I195" s="574"/>
      <c r="J195" s="574"/>
      <c r="K195" s="574"/>
      <c r="L195" s="574"/>
      <c r="M195" s="574"/>
      <c r="N195" s="574"/>
      <c r="O195" s="574"/>
      <c r="P195" s="574"/>
      <c r="Q195" s="574"/>
      <c r="R195" s="574"/>
      <c r="S195" s="574"/>
      <c r="T195" s="574"/>
      <c r="U195" s="574"/>
      <c r="V195" s="574"/>
      <c r="W195" s="574"/>
    </row>
    <row r="196" ht="12.0" customHeight="1">
      <c r="A196" s="664"/>
      <c r="B196" s="664"/>
      <c r="C196" s="574"/>
      <c r="D196" s="574"/>
      <c r="E196" s="574"/>
      <c r="F196" s="574"/>
      <c r="G196" s="574"/>
      <c r="H196" s="574"/>
      <c r="I196" s="574"/>
      <c r="J196" s="574"/>
      <c r="K196" s="574"/>
      <c r="L196" s="574"/>
      <c r="M196" s="574"/>
      <c r="N196" s="574"/>
      <c r="O196" s="574"/>
      <c r="P196" s="574"/>
      <c r="Q196" s="574"/>
      <c r="R196" s="574"/>
      <c r="S196" s="574"/>
      <c r="T196" s="574"/>
      <c r="U196" s="574"/>
      <c r="V196" s="574"/>
      <c r="W196" s="574"/>
    </row>
    <row r="197" ht="12.0" customHeight="1">
      <c r="A197" s="664"/>
      <c r="B197" s="664"/>
      <c r="C197" s="574"/>
      <c r="D197" s="574"/>
      <c r="E197" s="574"/>
      <c r="F197" s="574"/>
      <c r="G197" s="574"/>
      <c r="H197" s="574"/>
      <c r="I197" s="574"/>
      <c r="J197" s="574"/>
      <c r="K197" s="574"/>
      <c r="L197" s="574"/>
      <c r="M197" s="574"/>
      <c r="N197" s="574"/>
      <c r="O197" s="574"/>
      <c r="P197" s="574"/>
      <c r="Q197" s="574"/>
      <c r="R197" s="574"/>
      <c r="S197" s="574"/>
      <c r="T197" s="574"/>
      <c r="U197" s="574"/>
      <c r="V197" s="574"/>
      <c r="W197" s="574"/>
    </row>
    <row r="198" ht="12.0" customHeight="1">
      <c r="A198" s="664"/>
      <c r="B198" s="664"/>
      <c r="C198" s="574"/>
      <c r="D198" s="574"/>
      <c r="E198" s="574"/>
      <c r="F198" s="574"/>
      <c r="G198" s="574"/>
      <c r="H198" s="574"/>
      <c r="I198" s="574"/>
      <c r="J198" s="574"/>
      <c r="K198" s="574"/>
      <c r="L198" s="574"/>
      <c r="M198" s="574"/>
      <c r="N198" s="574"/>
      <c r="O198" s="574"/>
      <c r="P198" s="574"/>
      <c r="Q198" s="574"/>
      <c r="R198" s="574"/>
      <c r="S198" s="574"/>
      <c r="T198" s="574"/>
      <c r="U198" s="574"/>
      <c r="V198" s="574"/>
      <c r="W198" s="574"/>
    </row>
    <row r="199" ht="12.0" customHeight="1">
      <c r="A199" s="664"/>
      <c r="B199" s="664"/>
      <c r="C199" s="574"/>
      <c r="D199" s="574"/>
      <c r="E199" s="574"/>
      <c r="F199" s="574"/>
      <c r="G199" s="574"/>
      <c r="H199" s="574"/>
      <c r="I199" s="574"/>
      <c r="J199" s="574"/>
      <c r="K199" s="574"/>
      <c r="L199" s="574"/>
      <c r="M199" s="574"/>
      <c r="N199" s="574"/>
      <c r="O199" s="574"/>
      <c r="P199" s="574"/>
      <c r="Q199" s="574"/>
      <c r="R199" s="574"/>
      <c r="S199" s="574"/>
      <c r="T199" s="574"/>
      <c r="U199" s="574"/>
      <c r="V199" s="574"/>
      <c r="W199" s="574"/>
    </row>
    <row r="200" ht="12.0" customHeight="1">
      <c r="A200" s="664"/>
      <c r="B200" s="664"/>
      <c r="C200" s="574"/>
      <c r="D200" s="574"/>
      <c r="E200" s="574"/>
      <c r="F200" s="574"/>
      <c r="G200" s="574"/>
      <c r="H200" s="574"/>
      <c r="I200" s="574"/>
      <c r="J200" s="574"/>
      <c r="K200" s="574"/>
      <c r="L200" s="574"/>
      <c r="M200" s="574"/>
      <c r="N200" s="574"/>
      <c r="O200" s="574"/>
      <c r="P200" s="574"/>
      <c r="Q200" s="574"/>
      <c r="R200" s="574"/>
      <c r="S200" s="574"/>
      <c r="T200" s="574"/>
      <c r="U200" s="574"/>
      <c r="V200" s="574"/>
      <c r="W200" s="574"/>
    </row>
    <row r="201" ht="12.0" customHeight="1">
      <c r="A201" s="664"/>
      <c r="B201" s="664"/>
      <c r="C201" s="574"/>
      <c r="D201" s="574"/>
      <c r="E201" s="574"/>
      <c r="F201" s="574"/>
      <c r="G201" s="574"/>
      <c r="H201" s="574"/>
      <c r="I201" s="574"/>
      <c r="J201" s="574"/>
      <c r="K201" s="574"/>
      <c r="L201" s="574"/>
      <c r="M201" s="574"/>
      <c r="N201" s="574"/>
      <c r="O201" s="574"/>
      <c r="P201" s="574"/>
      <c r="Q201" s="574"/>
      <c r="R201" s="574"/>
      <c r="S201" s="574"/>
      <c r="T201" s="574"/>
      <c r="U201" s="574"/>
      <c r="V201" s="574"/>
      <c r="W201" s="574"/>
    </row>
    <row r="202" ht="12.0" customHeight="1">
      <c r="A202" s="664"/>
      <c r="B202" s="664"/>
      <c r="C202" s="574"/>
      <c r="D202" s="574"/>
      <c r="E202" s="574"/>
      <c r="F202" s="574"/>
      <c r="G202" s="574"/>
      <c r="H202" s="574"/>
      <c r="I202" s="574"/>
      <c r="J202" s="574"/>
      <c r="K202" s="574"/>
      <c r="L202" s="574"/>
      <c r="M202" s="574"/>
      <c r="N202" s="574"/>
      <c r="O202" s="574"/>
      <c r="P202" s="574"/>
      <c r="Q202" s="574"/>
      <c r="R202" s="574"/>
      <c r="S202" s="574"/>
      <c r="T202" s="574"/>
      <c r="U202" s="574"/>
      <c r="V202" s="574"/>
      <c r="W202" s="574"/>
    </row>
    <row r="203" ht="12.0" customHeight="1">
      <c r="A203" s="664"/>
      <c r="B203" s="66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4"/>
      <c r="N203" s="574"/>
      <c r="O203" s="574"/>
      <c r="P203" s="574"/>
      <c r="Q203" s="574"/>
      <c r="R203" s="574"/>
      <c r="S203" s="574"/>
      <c r="T203" s="574"/>
      <c r="U203" s="574"/>
      <c r="V203" s="574"/>
      <c r="W203" s="574"/>
    </row>
    <row r="204" ht="12.0" customHeight="1">
      <c r="A204" s="664"/>
      <c r="B204" s="664"/>
      <c r="C204" s="574"/>
      <c r="D204" s="574"/>
      <c r="E204" s="574"/>
      <c r="F204" s="574"/>
      <c r="G204" s="574"/>
      <c r="H204" s="574"/>
      <c r="I204" s="574"/>
      <c r="J204" s="574"/>
      <c r="K204" s="574"/>
      <c r="L204" s="574"/>
      <c r="M204" s="574"/>
      <c r="N204" s="574"/>
      <c r="O204" s="574"/>
      <c r="P204" s="574"/>
      <c r="Q204" s="574"/>
      <c r="R204" s="574"/>
      <c r="S204" s="574"/>
      <c r="T204" s="574"/>
      <c r="U204" s="574"/>
      <c r="V204" s="574"/>
      <c r="W204" s="574"/>
    </row>
    <row r="205" ht="12.0" customHeight="1">
      <c r="A205" s="664"/>
      <c r="B205" s="664"/>
      <c r="C205" s="574"/>
      <c r="D205" s="574"/>
      <c r="E205" s="574"/>
      <c r="F205" s="574"/>
      <c r="G205" s="574"/>
      <c r="H205" s="574"/>
      <c r="I205" s="574"/>
      <c r="J205" s="574"/>
      <c r="K205" s="574"/>
      <c r="L205" s="574"/>
      <c r="M205" s="574"/>
      <c r="N205" s="574"/>
      <c r="O205" s="574"/>
      <c r="P205" s="574"/>
      <c r="Q205" s="574"/>
      <c r="R205" s="574"/>
      <c r="S205" s="574"/>
      <c r="T205" s="574"/>
      <c r="U205" s="574"/>
      <c r="V205" s="574"/>
      <c r="W205" s="574"/>
    </row>
    <row r="206" ht="12.0" customHeight="1">
      <c r="A206" s="664"/>
      <c r="B206" s="664"/>
      <c r="C206" s="574"/>
      <c r="D206" s="574"/>
      <c r="E206" s="574"/>
      <c r="F206" s="574"/>
      <c r="G206" s="574"/>
      <c r="H206" s="574"/>
      <c r="I206" s="574"/>
      <c r="J206" s="574"/>
      <c r="K206" s="574"/>
      <c r="L206" s="574"/>
      <c r="M206" s="574"/>
      <c r="N206" s="574"/>
      <c r="O206" s="574"/>
      <c r="P206" s="574"/>
      <c r="Q206" s="574"/>
      <c r="R206" s="574"/>
      <c r="S206" s="574"/>
      <c r="T206" s="574"/>
      <c r="U206" s="574"/>
      <c r="V206" s="574"/>
      <c r="W206" s="574"/>
    </row>
    <row r="207" ht="12.0" customHeight="1">
      <c r="A207" s="664"/>
      <c r="B207" s="664"/>
      <c r="C207" s="574"/>
      <c r="D207" s="574"/>
      <c r="E207" s="574"/>
      <c r="F207" s="574"/>
      <c r="G207" s="574"/>
      <c r="H207" s="574"/>
      <c r="I207" s="574"/>
      <c r="J207" s="574"/>
      <c r="K207" s="574"/>
      <c r="L207" s="574"/>
      <c r="M207" s="574"/>
      <c r="N207" s="574"/>
      <c r="O207" s="574"/>
      <c r="P207" s="574"/>
      <c r="Q207" s="574"/>
      <c r="R207" s="574"/>
      <c r="S207" s="574"/>
      <c r="T207" s="574"/>
      <c r="U207" s="574"/>
      <c r="V207" s="574"/>
      <c r="W207" s="574"/>
    </row>
    <row r="208" ht="12.0" customHeight="1">
      <c r="A208" s="664"/>
      <c r="B208" s="664"/>
      <c r="C208" s="574"/>
      <c r="D208" s="574"/>
      <c r="E208" s="574"/>
      <c r="F208" s="574"/>
      <c r="G208" s="574"/>
      <c r="H208" s="574"/>
      <c r="I208" s="574"/>
      <c r="J208" s="574"/>
      <c r="K208" s="574"/>
      <c r="L208" s="574"/>
      <c r="M208" s="574"/>
      <c r="N208" s="574"/>
      <c r="O208" s="574"/>
      <c r="P208" s="574"/>
      <c r="Q208" s="574"/>
      <c r="R208" s="574"/>
      <c r="S208" s="574"/>
      <c r="T208" s="574"/>
      <c r="U208" s="574"/>
      <c r="V208" s="574"/>
      <c r="W208" s="574"/>
    </row>
    <row r="209" ht="12.0" customHeight="1">
      <c r="A209" s="664"/>
      <c r="B209" s="664"/>
      <c r="C209" s="574"/>
      <c r="D209" s="574"/>
      <c r="E209" s="574"/>
      <c r="F209" s="574"/>
      <c r="G209" s="574"/>
      <c r="H209" s="574"/>
      <c r="I209" s="574"/>
      <c r="J209" s="574"/>
      <c r="K209" s="574"/>
      <c r="L209" s="574"/>
      <c r="M209" s="574"/>
      <c r="N209" s="574"/>
      <c r="O209" s="574"/>
      <c r="P209" s="574"/>
      <c r="Q209" s="574"/>
      <c r="R209" s="574"/>
      <c r="S209" s="574"/>
      <c r="T209" s="574"/>
      <c r="U209" s="574"/>
      <c r="V209" s="574"/>
      <c r="W209" s="574"/>
    </row>
    <row r="210" ht="12.0" customHeight="1">
      <c r="A210" s="664"/>
      <c r="B210" s="664"/>
      <c r="C210" s="574"/>
      <c r="D210" s="574"/>
      <c r="E210" s="574"/>
      <c r="F210" s="574"/>
      <c r="G210" s="574"/>
      <c r="H210" s="574"/>
      <c r="I210" s="574"/>
      <c r="J210" s="574"/>
      <c r="K210" s="574"/>
      <c r="L210" s="574"/>
      <c r="M210" s="574"/>
      <c r="N210" s="574"/>
      <c r="O210" s="574"/>
      <c r="P210" s="574"/>
      <c r="Q210" s="574"/>
      <c r="R210" s="574"/>
      <c r="S210" s="574"/>
      <c r="T210" s="574"/>
      <c r="U210" s="574"/>
      <c r="V210" s="574"/>
      <c r="W210" s="574"/>
    </row>
    <row r="211" ht="12.0" customHeight="1">
      <c r="A211" s="664"/>
      <c r="B211" s="664"/>
      <c r="C211" s="574"/>
      <c r="D211" s="574"/>
      <c r="E211" s="574"/>
      <c r="F211" s="574"/>
      <c r="G211" s="574"/>
      <c r="H211" s="574"/>
      <c r="I211" s="574"/>
      <c r="J211" s="574"/>
      <c r="K211" s="574"/>
      <c r="L211" s="574"/>
      <c r="M211" s="574"/>
      <c r="N211" s="574"/>
      <c r="O211" s="574"/>
      <c r="P211" s="574"/>
      <c r="Q211" s="574"/>
      <c r="R211" s="574"/>
      <c r="S211" s="574"/>
      <c r="T211" s="574"/>
      <c r="U211" s="574"/>
      <c r="V211" s="574"/>
      <c r="W211" s="574"/>
    </row>
    <row r="212" ht="12.0" customHeight="1">
      <c r="A212" s="664"/>
      <c r="B212" s="664"/>
      <c r="C212" s="574"/>
      <c r="D212" s="574"/>
      <c r="E212" s="574"/>
      <c r="F212" s="574"/>
      <c r="G212" s="574"/>
      <c r="H212" s="574"/>
      <c r="I212" s="574"/>
      <c r="J212" s="574"/>
      <c r="K212" s="574"/>
      <c r="L212" s="574"/>
      <c r="M212" s="574"/>
      <c r="N212" s="574"/>
      <c r="O212" s="574"/>
      <c r="P212" s="574"/>
      <c r="Q212" s="574"/>
      <c r="R212" s="574"/>
      <c r="S212" s="574"/>
      <c r="T212" s="574"/>
      <c r="U212" s="574"/>
      <c r="V212" s="574"/>
      <c r="W212" s="574"/>
    </row>
    <row r="213" ht="12.0" customHeight="1">
      <c r="A213" s="664"/>
      <c r="B213" s="664"/>
      <c r="C213" s="574"/>
      <c r="D213" s="574"/>
      <c r="E213" s="574"/>
      <c r="F213" s="574"/>
      <c r="G213" s="574"/>
      <c r="H213" s="574"/>
      <c r="I213" s="574"/>
      <c r="J213" s="574"/>
      <c r="K213" s="574"/>
      <c r="L213" s="574"/>
      <c r="M213" s="574"/>
      <c r="N213" s="574"/>
      <c r="O213" s="574"/>
      <c r="P213" s="574"/>
      <c r="Q213" s="574"/>
      <c r="R213" s="574"/>
      <c r="S213" s="574"/>
      <c r="T213" s="574"/>
      <c r="U213" s="574"/>
      <c r="V213" s="574"/>
      <c r="W213" s="574"/>
    </row>
    <row r="214" ht="12.0" customHeight="1">
      <c r="A214" s="664"/>
      <c r="B214" s="664"/>
      <c r="C214" s="574"/>
      <c r="D214" s="574"/>
      <c r="E214" s="574"/>
      <c r="F214" s="574"/>
      <c r="G214" s="574"/>
      <c r="H214" s="574"/>
      <c r="I214" s="574"/>
      <c r="J214" s="574"/>
      <c r="K214" s="574"/>
      <c r="L214" s="574"/>
      <c r="M214" s="574"/>
      <c r="N214" s="574"/>
      <c r="O214" s="574"/>
      <c r="P214" s="574"/>
      <c r="Q214" s="574"/>
      <c r="R214" s="574"/>
      <c r="S214" s="574"/>
      <c r="T214" s="574"/>
      <c r="U214" s="574"/>
      <c r="V214" s="574"/>
      <c r="W214" s="574"/>
    </row>
    <row r="215" ht="12.0" customHeight="1">
      <c r="A215" s="664"/>
      <c r="B215" s="664"/>
      <c r="C215" s="574"/>
      <c r="D215" s="574"/>
      <c r="E215" s="574"/>
      <c r="F215" s="574"/>
      <c r="G215" s="574"/>
      <c r="H215" s="574"/>
      <c r="I215" s="574"/>
      <c r="J215" s="574"/>
      <c r="K215" s="574"/>
      <c r="L215" s="574"/>
      <c r="M215" s="574"/>
      <c r="N215" s="574"/>
      <c r="O215" s="574"/>
      <c r="P215" s="574"/>
      <c r="Q215" s="574"/>
      <c r="R215" s="574"/>
      <c r="S215" s="574"/>
      <c r="T215" s="574"/>
      <c r="U215" s="574"/>
      <c r="V215" s="574"/>
      <c r="W215" s="574"/>
    </row>
    <row r="216" ht="12.0" customHeight="1">
      <c r="A216" s="664"/>
      <c r="B216" s="664"/>
      <c r="C216" s="574"/>
      <c r="D216" s="574"/>
      <c r="E216" s="574"/>
      <c r="F216" s="574"/>
      <c r="G216" s="574"/>
      <c r="H216" s="574"/>
      <c r="I216" s="574"/>
      <c r="J216" s="574"/>
      <c r="K216" s="574"/>
      <c r="L216" s="574"/>
      <c r="M216" s="574"/>
      <c r="N216" s="574"/>
      <c r="O216" s="574"/>
      <c r="P216" s="574"/>
      <c r="Q216" s="574"/>
      <c r="R216" s="574"/>
      <c r="S216" s="574"/>
      <c r="T216" s="574"/>
      <c r="U216" s="574"/>
      <c r="V216" s="574"/>
      <c r="W216" s="574"/>
    </row>
    <row r="217" ht="12.0" customHeight="1">
      <c r="A217" s="664"/>
      <c r="B217" s="664"/>
      <c r="C217" s="574"/>
      <c r="D217" s="574"/>
      <c r="E217" s="574"/>
      <c r="F217" s="574"/>
      <c r="G217" s="574"/>
      <c r="H217" s="574"/>
      <c r="I217" s="574"/>
      <c r="J217" s="574"/>
      <c r="K217" s="574"/>
      <c r="L217" s="574"/>
      <c r="M217" s="574"/>
      <c r="N217" s="574"/>
      <c r="O217" s="574"/>
      <c r="P217" s="574"/>
      <c r="Q217" s="574"/>
      <c r="R217" s="574"/>
      <c r="S217" s="574"/>
      <c r="T217" s="574"/>
      <c r="U217" s="574"/>
      <c r="V217" s="574"/>
      <c r="W217" s="574"/>
    </row>
    <row r="218" ht="12.0" customHeight="1">
      <c r="A218" s="664"/>
      <c r="B218" s="664"/>
      <c r="C218" s="574"/>
      <c r="D218" s="574"/>
      <c r="E218" s="574"/>
      <c r="F218" s="574"/>
      <c r="G218" s="574"/>
      <c r="H218" s="574"/>
      <c r="I218" s="574"/>
      <c r="J218" s="574"/>
      <c r="K218" s="574"/>
      <c r="L218" s="574"/>
      <c r="M218" s="574"/>
      <c r="N218" s="574"/>
      <c r="O218" s="574"/>
      <c r="P218" s="574"/>
      <c r="Q218" s="574"/>
      <c r="R218" s="574"/>
      <c r="S218" s="574"/>
      <c r="T218" s="574"/>
      <c r="U218" s="574"/>
      <c r="V218" s="574"/>
      <c r="W218" s="574"/>
    </row>
    <row r="219" ht="12.0" customHeight="1">
      <c r="A219" s="664"/>
      <c r="B219" s="664"/>
      <c r="C219" s="574"/>
      <c r="D219" s="574"/>
      <c r="E219" s="574"/>
      <c r="F219" s="574"/>
      <c r="G219" s="574"/>
      <c r="H219" s="574"/>
      <c r="I219" s="574"/>
      <c r="J219" s="574"/>
      <c r="K219" s="574"/>
      <c r="L219" s="574"/>
      <c r="M219" s="574"/>
      <c r="N219" s="574"/>
      <c r="O219" s="574"/>
      <c r="P219" s="574"/>
      <c r="Q219" s="574"/>
      <c r="R219" s="574"/>
      <c r="S219" s="574"/>
      <c r="T219" s="574"/>
      <c r="U219" s="574"/>
      <c r="V219" s="574"/>
      <c r="W219" s="574"/>
    </row>
    <row r="220" ht="12.0" customHeight="1">
      <c r="A220" s="664"/>
      <c r="B220" s="664"/>
      <c r="C220" s="574"/>
      <c r="D220" s="574"/>
      <c r="E220" s="574"/>
      <c r="F220" s="574"/>
      <c r="G220" s="574"/>
      <c r="H220" s="574"/>
      <c r="I220" s="574"/>
      <c r="J220" s="574"/>
      <c r="K220" s="574"/>
      <c r="L220" s="574"/>
      <c r="M220" s="574"/>
      <c r="N220" s="574"/>
      <c r="O220" s="574"/>
      <c r="P220" s="574"/>
      <c r="Q220" s="574"/>
      <c r="R220" s="574"/>
      <c r="S220" s="574"/>
      <c r="T220" s="574"/>
      <c r="U220" s="574"/>
      <c r="V220" s="574"/>
      <c r="W220" s="574"/>
    </row>
    <row r="221" ht="12.0" customHeight="1">
      <c r="A221" s="664"/>
      <c r="B221" s="664"/>
      <c r="C221" s="574"/>
      <c r="D221" s="574"/>
      <c r="E221" s="574"/>
      <c r="F221" s="574"/>
      <c r="G221" s="574"/>
      <c r="H221" s="574"/>
      <c r="I221" s="574"/>
      <c r="J221" s="574"/>
      <c r="K221" s="574"/>
      <c r="L221" s="574"/>
      <c r="M221" s="574"/>
      <c r="N221" s="574"/>
      <c r="O221" s="574"/>
      <c r="P221" s="574"/>
      <c r="Q221" s="574"/>
      <c r="R221" s="574"/>
      <c r="S221" s="574"/>
      <c r="T221" s="574"/>
      <c r="U221" s="574"/>
      <c r="V221" s="574"/>
      <c r="W221" s="574"/>
    </row>
    <row r="222" ht="12.0" customHeight="1">
      <c r="A222" s="664"/>
      <c r="B222" s="664"/>
      <c r="C222" s="574"/>
      <c r="D222" s="574"/>
      <c r="E222" s="574"/>
      <c r="F222" s="574"/>
      <c r="G222" s="574"/>
      <c r="H222" s="574"/>
      <c r="I222" s="574"/>
      <c r="J222" s="574"/>
      <c r="K222" s="574"/>
      <c r="L222" s="574"/>
      <c r="M222" s="574"/>
      <c r="N222" s="574"/>
      <c r="O222" s="574"/>
      <c r="P222" s="574"/>
      <c r="Q222" s="574"/>
      <c r="R222" s="574"/>
      <c r="S222" s="574"/>
      <c r="T222" s="574"/>
      <c r="U222" s="574"/>
      <c r="V222" s="574"/>
      <c r="W222" s="574"/>
    </row>
    <row r="223" ht="12.0" customHeight="1">
      <c r="A223" s="664"/>
      <c r="B223" s="66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4"/>
      <c r="N223" s="574"/>
      <c r="O223" s="574"/>
      <c r="P223" s="574"/>
      <c r="Q223" s="574"/>
      <c r="R223" s="574"/>
      <c r="S223" s="574"/>
      <c r="T223" s="574"/>
      <c r="U223" s="574"/>
      <c r="V223" s="574"/>
      <c r="W223" s="574"/>
    </row>
    <row r="224" ht="12.0" customHeight="1">
      <c r="A224" s="664"/>
      <c r="B224" s="664"/>
      <c r="C224" s="574"/>
      <c r="D224" s="574"/>
      <c r="E224" s="574"/>
      <c r="F224" s="574"/>
      <c r="G224" s="574"/>
      <c r="H224" s="574"/>
      <c r="I224" s="574"/>
      <c r="J224" s="574"/>
      <c r="K224" s="574"/>
      <c r="L224" s="574"/>
      <c r="M224" s="574"/>
      <c r="N224" s="574"/>
      <c r="O224" s="574"/>
      <c r="P224" s="574"/>
      <c r="Q224" s="574"/>
      <c r="R224" s="574"/>
      <c r="S224" s="574"/>
      <c r="T224" s="574"/>
      <c r="U224" s="574"/>
      <c r="V224" s="574"/>
      <c r="W224" s="574"/>
    </row>
    <row r="225" ht="12.0" customHeight="1">
      <c r="A225" s="664"/>
      <c r="B225" s="664"/>
      <c r="C225" s="574"/>
      <c r="D225" s="574"/>
      <c r="E225" s="574"/>
      <c r="F225" s="574"/>
      <c r="G225" s="574"/>
      <c r="H225" s="574"/>
      <c r="I225" s="574"/>
      <c r="J225" s="574"/>
      <c r="K225" s="574"/>
      <c r="L225" s="574"/>
      <c r="M225" s="574"/>
      <c r="N225" s="574"/>
      <c r="O225" s="574"/>
      <c r="P225" s="574"/>
      <c r="Q225" s="574"/>
      <c r="R225" s="574"/>
      <c r="S225" s="574"/>
      <c r="T225" s="574"/>
      <c r="U225" s="574"/>
      <c r="V225" s="574"/>
      <c r="W225" s="574"/>
    </row>
    <row r="226" ht="12.0" customHeight="1">
      <c r="A226" s="664"/>
      <c r="B226" s="664"/>
      <c r="C226" s="574"/>
      <c r="D226" s="574"/>
      <c r="E226" s="574"/>
      <c r="F226" s="574"/>
      <c r="G226" s="574"/>
      <c r="H226" s="574"/>
      <c r="I226" s="574"/>
      <c r="J226" s="574"/>
      <c r="K226" s="574"/>
      <c r="L226" s="574"/>
      <c r="M226" s="574"/>
      <c r="N226" s="574"/>
      <c r="O226" s="574"/>
      <c r="P226" s="574"/>
      <c r="Q226" s="574"/>
      <c r="R226" s="574"/>
      <c r="S226" s="574"/>
      <c r="T226" s="574"/>
      <c r="U226" s="574"/>
      <c r="V226" s="574"/>
      <c r="W226" s="574"/>
    </row>
    <row r="227" ht="12.0" customHeight="1">
      <c r="A227" s="664"/>
      <c r="B227" s="664"/>
      <c r="C227" s="574"/>
      <c r="D227" s="574"/>
      <c r="E227" s="574"/>
      <c r="F227" s="574"/>
      <c r="G227" s="574"/>
      <c r="H227" s="574"/>
      <c r="I227" s="574"/>
      <c r="J227" s="574"/>
      <c r="K227" s="574"/>
      <c r="L227" s="574"/>
      <c r="M227" s="574"/>
      <c r="N227" s="574"/>
      <c r="O227" s="574"/>
      <c r="P227" s="574"/>
      <c r="Q227" s="574"/>
      <c r="R227" s="574"/>
      <c r="S227" s="574"/>
      <c r="T227" s="574"/>
      <c r="U227" s="574"/>
      <c r="V227" s="574"/>
      <c r="W227" s="574"/>
    </row>
    <row r="228" ht="12.0" customHeight="1">
      <c r="A228" s="664"/>
      <c r="B228" s="664"/>
      <c r="C228" s="574"/>
      <c r="D228" s="574"/>
      <c r="E228" s="574"/>
      <c r="F228" s="574"/>
      <c r="G228" s="574"/>
      <c r="H228" s="574"/>
      <c r="I228" s="574"/>
      <c r="J228" s="574"/>
      <c r="K228" s="574"/>
      <c r="L228" s="574"/>
      <c r="M228" s="574"/>
      <c r="N228" s="574"/>
      <c r="O228" s="574"/>
      <c r="P228" s="574"/>
      <c r="Q228" s="574"/>
      <c r="R228" s="574"/>
      <c r="S228" s="574"/>
      <c r="T228" s="574"/>
      <c r="U228" s="574"/>
      <c r="V228" s="574"/>
      <c r="W228" s="574"/>
    </row>
    <row r="229" ht="12.0" customHeight="1">
      <c r="A229" s="664"/>
      <c r="B229" s="664"/>
      <c r="C229" s="574"/>
      <c r="D229" s="574"/>
      <c r="E229" s="574"/>
      <c r="F229" s="574"/>
      <c r="G229" s="574"/>
      <c r="H229" s="574"/>
      <c r="I229" s="574"/>
      <c r="J229" s="574"/>
      <c r="K229" s="574"/>
      <c r="L229" s="574"/>
      <c r="M229" s="574"/>
      <c r="N229" s="574"/>
      <c r="O229" s="574"/>
      <c r="P229" s="574"/>
      <c r="Q229" s="574"/>
      <c r="R229" s="574"/>
      <c r="S229" s="574"/>
      <c r="T229" s="574"/>
      <c r="U229" s="574"/>
      <c r="V229" s="574"/>
      <c r="W229" s="574"/>
    </row>
    <row r="230" ht="12.0" customHeight="1">
      <c r="A230" s="664"/>
      <c r="B230" s="664"/>
      <c r="C230" s="574"/>
      <c r="D230" s="574"/>
      <c r="E230" s="574"/>
      <c r="F230" s="574"/>
      <c r="G230" s="574"/>
      <c r="H230" s="574"/>
      <c r="I230" s="574"/>
      <c r="J230" s="574"/>
      <c r="K230" s="574"/>
      <c r="L230" s="574"/>
      <c r="M230" s="574"/>
      <c r="N230" s="574"/>
      <c r="O230" s="574"/>
      <c r="P230" s="574"/>
      <c r="Q230" s="574"/>
      <c r="R230" s="574"/>
      <c r="S230" s="574"/>
      <c r="T230" s="574"/>
      <c r="U230" s="574"/>
      <c r="V230" s="574"/>
      <c r="W230" s="574"/>
    </row>
    <row r="231" ht="12.0" customHeight="1">
      <c r="A231" s="664"/>
      <c r="B231" s="664"/>
      <c r="C231" s="574"/>
      <c r="D231" s="574"/>
      <c r="E231" s="574"/>
      <c r="F231" s="574"/>
      <c r="G231" s="574"/>
      <c r="H231" s="574"/>
      <c r="I231" s="574"/>
      <c r="J231" s="574"/>
      <c r="K231" s="574"/>
      <c r="L231" s="574"/>
      <c r="M231" s="574"/>
      <c r="N231" s="574"/>
      <c r="O231" s="574"/>
      <c r="P231" s="574"/>
      <c r="Q231" s="574"/>
      <c r="R231" s="574"/>
      <c r="S231" s="574"/>
      <c r="T231" s="574"/>
      <c r="U231" s="574"/>
      <c r="V231" s="574"/>
      <c r="W231" s="574"/>
    </row>
    <row r="232" ht="12.0" customHeight="1">
      <c r="A232" s="664"/>
      <c r="B232" s="664"/>
      <c r="C232" s="574"/>
      <c r="D232" s="574"/>
      <c r="E232" s="574"/>
      <c r="F232" s="574"/>
      <c r="G232" s="574"/>
      <c r="H232" s="574"/>
      <c r="I232" s="574"/>
      <c r="J232" s="574"/>
      <c r="K232" s="574"/>
      <c r="L232" s="574"/>
      <c r="M232" s="574"/>
      <c r="N232" s="574"/>
      <c r="O232" s="574"/>
      <c r="P232" s="574"/>
      <c r="Q232" s="574"/>
      <c r="R232" s="574"/>
      <c r="S232" s="574"/>
      <c r="T232" s="574"/>
      <c r="U232" s="574"/>
      <c r="V232" s="574"/>
      <c r="W232" s="574"/>
    </row>
    <row r="233" ht="12.0" customHeight="1">
      <c r="A233" s="664"/>
      <c r="B233" s="664"/>
      <c r="C233" s="574"/>
      <c r="D233" s="574"/>
      <c r="E233" s="574"/>
      <c r="F233" s="574"/>
      <c r="G233" s="574"/>
      <c r="H233" s="574"/>
      <c r="I233" s="574"/>
      <c r="J233" s="574"/>
      <c r="K233" s="574"/>
      <c r="L233" s="574"/>
      <c r="M233" s="574"/>
      <c r="N233" s="574"/>
      <c r="O233" s="574"/>
      <c r="P233" s="574"/>
      <c r="Q233" s="574"/>
      <c r="R233" s="574"/>
      <c r="S233" s="574"/>
      <c r="T233" s="574"/>
      <c r="U233" s="574"/>
      <c r="V233" s="574"/>
      <c r="W233" s="574"/>
    </row>
    <row r="234" ht="12.0" customHeight="1">
      <c r="A234" s="664"/>
      <c r="B234" s="664"/>
      <c r="C234" s="574"/>
      <c r="D234" s="574"/>
      <c r="E234" s="574"/>
      <c r="F234" s="574"/>
      <c r="G234" s="574"/>
      <c r="H234" s="574"/>
      <c r="I234" s="574"/>
      <c r="J234" s="574"/>
      <c r="K234" s="574"/>
      <c r="L234" s="574"/>
      <c r="M234" s="574"/>
      <c r="N234" s="574"/>
      <c r="O234" s="574"/>
      <c r="P234" s="574"/>
      <c r="Q234" s="574"/>
      <c r="R234" s="574"/>
      <c r="S234" s="574"/>
      <c r="T234" s="574"/>
      <c r="U234" s="574"/>
      <c r="V234" s="574"/>
      <c r="W234" s="574"/>
    </row>
    <row r="235" ht="12.0" customHeight="1">
      <c r="A235" s="664"/>
      <c r="B235" s="664"/>
      <c r="C235" s="574"/>
      <c r="D235" s="574"/>
      <c r="E235" s="574"/>
      <c r="F235" s="574"/>
      <c r="G235" s="574"/>
      <c r="H235" s="574"/>
      <c r="I235" s="574"/>
      <c r="J235" s="574"/>
      <c r="K235" s="574"/>
      <c r="L235" s="574"/>
      <c r="M235" s="574"/>
      <c r="N235" s="574"/>
      <c r="O235" s="574"/>
      <c r="P235" s="574"/>
      <c r="Q235" s="574"/>
      <c r="R235" s="574"/>
      <c r="S235" s="574"/>
      <c r="T235" s="574"/>
      <c r="U235" s="574"/>
      <c r="V235" s="574"/>
      <c r="W235" s="574"/>
    </row>
    <row r="236" ht="12.0" customHeight="1">
      <c r="A236" s="664"/>
      <c r="B236" s="664"/>
      <c r="C236" s="574"/>
      <c r="D236" s="574"/>
      <c r="E236" s="574"/>
      <c r="F236" s="574"/>
      <c r="G236" s="574"/>
      <c r="H236" s="574"/>
      <c r="I236" s="574"/>
      <c r="J236" s="574"/>
      <c r="K236" s="574"/>
      <c r="L236" s="574"/>
      <c r="M236" s="574"/>
      <c r="N236" s="574"/>
      <c r="O236" s="574"/>
      <c r="P236" s="574"/>
      <c r="Q236" s="574"/>
      <c r="R236" s="574"/>
      <c r="S236" s="574"/>
      <c r="T236" s="574"/>
      <c r="U236" s="574"/>
      <c r="V236" s="574"/>
      <c r="W236" s="574"/>
    </row>
    <row r="237" ht="12.0" customHeight="1">
      <c r="A237" s="664"/>
      <c r="B237" s="664"/>
      <c r="C237" s="574"/>
      <c r="D237" s="574"/>
      <c r="E237" s="574"/>
      <c r="F237" s="574"/>
      <c r="G237" s="574"/>
      <c r="H237" s="574"/>
      <c r="I237" s="574"/>
      <c r="J237" s="574"/>
      <c r="K237" s="574"/>
      <c r="L237" s="574"/>
      <c r="M237" s="574"/>
      <c r="N237" s="574"/>
      <c r="O237" s="574"/>
      <c r="P237" s="574"/>
      <c r="Q237" s="574"/>
      <c r="R237" s="574"/>
      <c r="S237" s="574"/>
      <c r="T237" s="574"/>
      <c r="U237" s="574"/>
      <c r="V237" s="574"/>
      <c r="W237" s="574"/>
    </row>
    <row r="238" ht="12.0" customHeight="1">
      <c r="A238" s="664"/>
      <c r="B238" s="664"/>
      <c r="C238" s="574"/>
      <c r="D238" s="574"/>
      <c r="E238" s="574"/>
      <c r="F238" s="574"/>
      <c r="G238" s="574"/>
      <c r="H238" s="574"/>
      <c r="I238" s="574"/>
      <c r="J238" s="574"/>
      <c r="K238" s="574"/>
      <c r="L238" s="574"/>
      <c r="M238" s="574"/>
      <c r="N238" s="574"/>
      <c r="O238" s="574"/>
      <c r="P238" s="574"/>
      <c r="Q238" s="574"/>
      <c r="R238" s="574"/>
      <c r="S238" s="574"/>
      <c r="T238" s="574"/>
      <c r="U238" s="574"/>
      <c r="V238" s="574"/>
      <c r="W238" s="574"/>
    </row>
    <row r="239" ht="12.0" customHeight="1">
      <c r="A239" s="664"/>
      <c r="B239" s="664"/>
      <c r="C239" s="574"/>
      <c r="D239" s="574"/>
      <c r="E239" s="574"/>
      <c r="F239" s="574"/>
      <c r="G239" s="574"/>
      <c r="H239" s="574"/>
      <c r="I239" s="574"/>
      <c r="J239" s="574"/>
      <c r="K239" s="574"/>
      <c r="L239" s="574"/>
      <c r="M239" s="574"/>
      <c r="N239" s="574"/>
      <c r="O239" s="574"/>
      <c r="P239" s="574"/>
      <c r="Q239" s="574"/>
      <c r="R239" s="574"/>
      <c r="S239" s="574"/>
      <c r="T239" s="574"/>
      <c r="U239" s="574"/>
      <c r="V239" s="574"/>
      <c r="W239" s="574"/>
    </row>
    <row r="240" ht="12.0" customHeight="1">
      <c r="A240" s="664"/>
      <c r="B240" s="664"/>
      <c r="C240" s="574"/>
      <c r="D240" s="574"/>
      <c r="E240" s="574"/>
      <c r="F240" s="574"/>
      <c r="G240" s="574"/>
      <c r="H240" s="574"/>
      <c r="I240" s="574"/>
      <c r="J240" s="574"/>
      <c r="K240" s="574"/>
      <c r="L240" s="574"/>
      <c r="M240" s="574"/>
      <c r="N240" s="574"/>
      <c r="O240" s="574"/>
      <c r="P240" s="574"/>
      <c r="Q240" s="574"/>
      <c r="R240" s="574"/>
      <c r="S240" s="574"/>
      <c r="T240" s="574"/>
      <c r="U240" s="574"/>
      <c r="V240" s="574"/>
      <c r="W240" s="574"/>
    </row>
    <row r="241" ht="12.0" customHeight="1">
      <c r="A241" s="664"/>
      <c r="B241" s="664"/>
      <c r="C241" s="574"/>
      <c r="D241" s="574"/>
      <c r="E241" s="574"/>
      <c r="F241" s="574"/>
      <c r="G241" s="574"/>
      <c r="H241" s="574"/>
      <c r="I241" s="574"/>
      <c r="J241" s="574"/>
      <c r="K241" s="574"/>
      <c r="L241" s="574"/>
      <c r="M241" s="574"/>
      <c r="N241" s="574"/>
      <c r="O241" s="574"/>
      <c r="P241" s="574"/>
      <c r="Q241" s="574"/>
      <c r="R241" s="574"/>
      <c r="S241" s="574"/>
      <c r="T241" s="574"/>
      <c r="U241" s="574"/>
      <c r="V241" s="574"/>
      <c r="W241" s="574"/>
    </row>
    <row r="242" ht="12.0" customHeight="1">
      <c r="A242" s="664"/>
      <c r="B242" s="664"/>
      <c r="C242" s="574"/>
      <c r="D242" s="574"/>
      <c r="E242" s="574"/>
      <c r="F242" s="574"/>
      <c r="G242" s="574"/>
      <c r="H242" s="574"/>
      <c r="I242" s="574"/>
      <c r="J242" s="574"/>
      <c r="K242" s="574"/>
      <c r="L242" s="574"/>
      <c r="M242" s="574"/>
      <c r="N242" s="574"/>
      <c r="O242" s="574"/>
      <c r="P242" s="574"/>
      <c r="Q242" s="574"/>
      <c r="R242" s="574"/>
      <c r="S242" s="574"/>
      <c r="T242" s="574"/>
      <c r="U242" s="574"/>
      <c r="V242" s="574"/>
      <c r="W242" s="574"/>
    </row>
    <row r="243" ht="12.0" customHeight="1">
      <c r="A243" s="664"/>
      <c r="B243" s="66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4"/>
      <c r="N243" s="574"/>
      <c r="O243" s="574"/>
      <c r="P243" s="574"/>
      <c r="Q243" s="574"/>
      <c r="R243" s="574"/>
      <c r="S243" s="574"/>
      <c r="T243" s="574"/>
      <c r="U243" s="574"/>
      <c r="V243" s="574"/>
      <c r="W243" s="574"/>
    </row>
    <row r="244" ht="12.0" customHeight="1">
      <c r="A244" s="664"/>
      <c r="B244" s="664"/>
      <c r="C244" s="574"/>
      <c r="D244" s="574"/>
      <c r="E244" s="574"/>
      <c r="F244" s="574"/>
      <c r="G244" s="574"/>
      <c r="H244" s="574"/>
      <c r="I244" s="574"/>
      <c r="J244" s="574"/>
      <c r="K244" s="574"/>
      <c r="L244" s="574"/>
      <c r="M244" s="574"/>
      <c r="N244" s="574"/>
      <c r="O244" s="574"/>
      <c r="P244" s="574"/>
      <c r="Q244" s="574"/>
      <c r="R244" s="574"/>
      <c r="S244" s="574"/>
      <c r="T244" s="574"/>
      <c r="U244" s="574"/>
      <c r="V244" s="574"/>
      <c r="W244" s="574"/>
    </row>
    <row r="245" ht="12.0" customHeight="1">
      <c r="A245" s="664"/>
      <c r="B245" s="664"/>
      <c r="C245" s="574"/>
      <c r="D245" s="574"/>
      <c r="E245" s="574"/>
      <c r="F245" s="574"/>
      <c r="G245" s="574"/>
      <c r="H245" s="574"/>
      <c r="I245" s="574"/>
      <c r="J245" s="574"/>
      <c r="K245" s="574"/>
      <c r="L245" s="574"/>
      <c r="M245" s="574"/>
      <c r="N245" s="574"/>
      <c r="O245" s="574"/>
      <c r="P245" s="574"/>
      <c r="Q245" s="574"/>
      <c r="R245" s="574"/>
      <c r="S245" s="574"/>
      <c r="T245" s="574"/>
      <c r="U245" s="574"/>
      <c r="V245" s="574"/>
      <c r="W245" s="574"/>
    </row>
    <row r="246" ht="12.0" customHeight="1">
      <c r="A246" s="664"/>
      <c r="B246" s="664"/>
      <c r="C246" s="574"/>
      <c r="D246" s="574"/>
      <c r="E246" s="574"/>
      <c r="F246" s="574"/>
      <c r="G246" s="574"/>
      <c r="H246" s="574"/>
      <c r="I246" s="574"/>
      <c r="J246" s="574"/>
      <c r="K246" s="574"/>
      <c r="L246" s="574"/>
      <c r="M246" s="574"/>
      <c r="N246" s="574"/>
      <c r="O246" s="574"/>
      <c r="P246" s="574"/>
      <c r="Q246" s="574"/>
      <c r="R246" s="574"/>
      <c r="S246" s="574"/>
      <c r="T246" s="574"/>
      <c r="U246" s="574"/>
      <c r="V246" s="574"/>
      <c r="W246" s="574"/>
    </row>
    <row r="247" ht="12.0" customHeight="1">
      <c r="A247" s="664"/>
      <c r="B247" s="664"/>
      <c r="C247" s="574"/>
      <c r="D247" s="574"/>
      <c r="E247" s="574"/>
      <c r="F247" s="574"/>
      <c r="G247" s="574"/>
      <c r="H247" s="574"/>
      <c r="I247" s="574"/>
      <c r="J247" s="574"/>
      <c r="K247" s="574"/>
      <c r="L247" s="574"/>
      <c r="M247" s="574"/>
      <c r="N247" s="574"/>
      <c r="O247" s="574"/>
      <c r="P247" s="574"/>
      <c r="Q247" s="574"/>
      <c r="R247" s="574"/>
      <c r="S247" s="574"/>
      <c r="T247" s="574"/>
      <c r="U247" s="574"/>
      <c r="V247" s="574"/>
      <c r="W247" s="574"/>
    </row>
    <row r="248" ht="12.0" customHeight="1">
      <c r="A248" s="664"/>
      <c r="B248" s="664"/>
      <c r="C248" s="574"/>
      <c r="D248" s="574"/>
      <c r="E248" s="574"/>
      <c r="F248" s="574"/>
      <c r="G248" s="574"/>
      <c r="H248" s="574"/>
      <c r="I248" s="574"/>
      <c r="J248" s="574"/>
      <c r="K248" s="574"/>
      <c r="L248" s="574"/>
      <c r="M248" s="574"/>
      <c r="N248" s="574"/>
      <c r="O248" s="574"/>
      <c r="P248" s="574"/>
      <c r="Q248" s="574"/>
      <c r="R248" s="574"/>
      <c r="S248" s="574"/>
      <c r="T248" s="574"/>
      <c r="U248" s="574"/>
      <c r="V248" s="574"/>
      <c r="W248" s="574"/>
    </row>
    <row r="249" ht="12.0" customHeight="1">
      <c r="A249" s="664"/>
      <c r="B249" s="664"/>
      <c r="C249" s="574"/>
      <c r="D249" s="574"/>
      <c r="E249" s="574"/>
      <c r="F249" s="574"/>
      <c r="G249" s="574"/>
      <c r="H249" s="574"/>
      <c r="I249" s="574"/>
      <c r="J249" s="574"/>
      <c r="K249" s="574"/>
      <c r="L249" s="574"/>
      <c r="M249" s="574"/>
      <c r="N249" s="574"/>
      <c r="O249" s="574"/>
      <c r="P249" s="574"/>
      <c r="Q249" s="574"/>
      <c r="R249" s="574"/>
      <c r="S249" s="574"/>
      <c r="T249" s="574"/>
      <c r="U249" s="574"/>
      <c r="V249" s="574"/>
      <c r="W249" s="574"/>
    </row>
    <row r="250" ht="12.0" customHeight="1">
      <c r="A250" s="664"/>
      <c r="B250" s="664"/>
      <c r="C250" s="574"/>
      <c r="D250" s="574"/>
      <c r="E250" s="574"/>
      <c r="F250" s="574"/>
      <c r="G250" s="574"/>
      <c r="H250" s="574"/>
      <c r="I250" s="574"/>
      <c r="J250" s="574"/>
      <c r="K250" s="574"/>
      <c r="L250" s="574"/>
      <c r="M250" s="574"/>
      <c r="N250" s="574"/>
      <c r="O250" s="574"/>
      <c r="P250" s="574"/>
      <c r="Q250" s="574"/>
      <c r="R250" s="574"/>
      <c r="S250" s="574"/>
      <c r="T250" s="574"/>
      <c r="U250" s="574"/>
      <c r="V250" s="574"/>
      <c r="W250" s="574"/>
    </row>
    <row r="251" ht="12.0" customHeight="1">
      <c r="A251" s="664"/>
      <c r="B251" s="664"/>
      <c r="C251" s="574"/>
      <c r="D251" s="574"/>
      <c r="E251" s="574"/>
      <c r="F251" s="574"/>
      <c r="G251" s="574"/>
      <c r="H251" s="574"/>
      <c r="I251" s="574"/>
      <c r="J251" s="574"/>
      <c r="K251" s="574"/>
      <c r="L251" s="574"/>
      <c r="M251" s="574"/>
      <c r="N251" s="574"/>
      <c r="O251" s="574"/>
      <c r="P251" s="574"/>
      <c r="Q251" s="574"/>
      <c r="R251" s="574"/>
      <c r="S251" s="574"/>
      <c r="T251" s="574"/>
      <c r="U251" s="574"/>
      <c r="V251" s="574"/>
      <c r="W251" s="574"/>
    </row>
    <row r="252" ht="12.0" customHeight="1">
      <c r="A252" s="664"/>
      <c r="B252" s="664"/>
      <c r="C252" s="574"/>
      <c r="D252" s="574"/>
      <c r="E252" s="574"/>
      <c r="F252" s="574"/>
      <c r="G252" s="574"/>
      <c r="H252" s="574"/>
      <c r="I252" s="574"/>
      <c r="J252" s="574"/>
      <c r="K252" s="574"/>
      <c r="L252" s="574"/>
      <c r="M252" s="574"/>
      <c r="N252" s="574"/>
      <c r="O252" s="574"/>
      <c r="P252" s="574"/>
      <c r="Q252" s="574"/>
      <c r="R252" s="574"/>
      <c r="S252" s="574"/>
      <c r="T252" s="574"/>
      <c r="U252" s="574"/>
      <c r="V252" s="574"/>
      <c r="W252" s="574"/>
    </row>
    <row r="253" ht="12.0" customHeight="1">
      <c r="A253" s="664"/>
      <c r="B253" s="664"/>
      <c r="C253" s="574"/>
      <c r="D253" s="574"/>
      <c r="E253" s="574"/>
      <c r="F253" s="574"/>
      <c r="G253" s="574"/>
      <c r="H253" s="574"/>
      <c r="I253" s="574"/>
      <c r="J253" s="574"/>
      <c r="K253" s="574"/>
      <c r="L253" s="574"/>
      <c r="M253" s="574"/>
      <c r="N253" s="574"/>
      <c r="O253" s="574"/>
      <c r="P253" s="574"/>
      <c r="Q253" s="574"/>
      <c r="R253" s="574"/>
      <c r="S253" s="574"/>
      <c r="T253" s="574"/>
      <c r="U253" s="574"/>
      <c r="V253" s="574"/>
      <c r="W253" s="574"/>
    </row>
    <row r="254" ht="12.0" customHeight="1">
      <c r="A254" s="664"/>
      <c r="B254" s="664"/>
      <c r="C254" s="574"/>
      <c r="D254" s="574"/>
      <c r="E254" s="574"/>
      <c r="F254" s="574"/>
      <c r="G254" s="574"/>
      <c r="H254" s="574"/>
      <c r="I254" s="574"/>
      <c r="J254" s="574"/>
      <c r="K254" s="574"/>
      <c r="L254" s="574"/>
      <c r="M254" s="574"/>
      <c r="N254" s="574"/>
      <c r="O254" s="574"/>
      <c r="P254" s="574"/>
      <c r="Q254" s="574"/>
      <c r="R254" s="574"/>
      <c r="S254" s="574"/>
      <c r="T254" s="574"/>
      <c r="U254" s="574"/>
      <c r="V254" s="574"/>
      <c r="W254" s="574"/>
    </row>
    <row r="255" ht="12.0" customHeight="1">
      <c r="A255" s="664"/>
      <c r="B255" s="66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S255" s="574"/>
      <c r="T255" s="574"/>
      <c r="U255" s="574"/>
      <c r="V255" s="574"/>
      <c r="W255" s="574"/>
    </row>
    <row r="256" ht="12.0" customHeight="1">
      <c r="A256" s="664"/>
      <c r="B256" s="66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</row>
    <row r="257" ht="12.0" customHeight="1">
      <c r="A257" s="664"/>
      <c r="B257" s="66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</row>
    <row r="258" ht="12.0" customHeight="1">
      <c r="A258" s="664"/>
      <c r="B258" s="66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</row>
    <row r="259" ht="12.0" customHeight="1">
      <c r="A259" s="664"/>
      <c r="B259" s="66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</row>
    <row r="260" ht="12.0" customHeight="1">
      <c r="A260" s="664"/>
      <c r="B260" s="66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</row>
    <row r="261" ht="12.0" customHeight="1">
      <c r="A261" s="664"/>
      <c r="B261" s="66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375" footer="0.0" header="0.0" left="0.748125" right="0.748125" top="0.9843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3.14"/>
    <col customWidth="1" min="3" max="4" width="5.86"/>
    <col customWidth="1" min="5" max="5" width="8.0"/>
    <col customWidth="1" min="6" max="6" width="25.43"/>
    <col customWidth="1" min="7" max="7" width="24.43"/>
    <col customWidth="1" min="8" max="8" width="15.14"/>
    <col customWidth="1" min="9" max="9" width="6.86"/>
    <col customWidth="1" min="10" max="26" width="9.0"/>
  </cols>
  <sheetData>
    <row r="1" ht="102.75" customHeight="1">
      <c r="A1" s="645"/>
    </row>
    <row r="2" ht="34.5" customHeight="1">
      <c r="A2" s="647" t="s">
        <v>540</v>
      </c>
      <c r="B2" s="587"/>
      <c r="C2" s="587"/>
      <c r="D2" s="587"/>
      <c r="E2" s="587"/>
      <c r="F2" s="587"/>
      <c r="G2" s="587"/>
      <c r="H2" s="587"/>
    </row>
    <row r="3" ht="73.5" customHeight="1">
      <c r="A3" s="649" t="s">
        <v>548</v>
      </c>
      <c r="B3" s="380"/>
      <c r="C3" s="380"/>
      <c r="D3" s="380"/>
      <c r="E3" s="380"/>
      <c r="F3" s="380"/>
      <c r="G3" s="380"/>
      <c r="H3" s="2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</row>
    <row r="4" ht="15.0" customHeight="1">
      <c r="A4" s="652" t="s">
        <v>558</v>
      </c>
      <c r="B4" s="163"/>
      <c r="C4" s="654" t="s">
        <v>424</v>
      </c>
      <c r="D4" s="654" t="s">
        <v>425</v>
      </c>
      <c r="E4" s="654" t="s">
        <v>565</v>
      </c>
      <c r="F4" s="656" t="s">
        <v>567</v>
      </c>
      <c r="G4" s="654" t="s">
        <v>569</v>
      </c>
      <c r="H4" s="654" t="s">
        <v>430</v>
      </c>
      <c r="I4" s="657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</row>
    <row r="5" ht="15.0" customHeight="1">
      <c r="A5" s="661" t="s">
        <v>575</v>
      </c>
      <c r="B5" s="163"/>
      <c r="C5" s="663"/>
      <c r="D5" s="663"/>
      <c r="E5" s="663"/>
      <c r="F5" s="665" t="s">
        <v>579</v>
      </c>
      <c r="G5" s="663"/>
      <c r="H5" s="667"/>
      <c r="I5" s="668"/>
    </row>
    <row r="6" ht="15.0" customHeight="1">
      <c r="A6" s="661" t="s">
        <v>583</v>
      </c>
      <c r="B6" s="163"/>
      <c r="C6" s="663"/>
      <c r="D6" s="663"/>
      <c r="E6" s="663"/>
      <c r="F6" s="665" t="s">
        <v>585</v>
      </c>
      <c r="G6" s="663"/>
      <c r="H6" s="667"/>
      <c r="I6" s="668"/>
    </row>
    <row r="7" ht="15.0" customHeight="1">
      <c r="A7" s="661" t="s">
        <v>587</v>
      </c>
      <c r="B7" s="163"/>
      <c r="C7" s="663"/>
      <c r="D7" s="663"/>
      <c r="E7" s="663"/>
      <c r="F7" s="670" t="s">
        <v>590</v>
      </c>
      <c r="G7" s="663"/>
      <c r="H7" s="667"/>
      <c r="I7" s="668"/>
    </row>
    <row r="8" ht="15.0" customHeight="1">
      <c r="A8" s="661" t="s">
        <v>593</v>
      </c>
      <c r="B8" s="163"/>
      <c r="C8" s="663"/>
      <c r="D8" s="663"/>
      <c r="E8" s="663"/>
      <c r="F8" s="670" t="s">
        <v>595</v>
      </c>
      <c r="G8" s="663"/>
      <c r="H8" s="667"/>
      <c r="I8" s="668"/>
    </row>
    <row r="9" ht="15.0" customHeight="1">
      <c r="A9" s="661" t="s">
        <v>597</v>
      </c>
      <c r="B9" s="163"/>
      <c r="C9" s="663"/>
      <c r="D9" s="663"/>
      <c r="E9" s="663"/>
      <c r="F9" s="670" t="s">
        <v>598</v>
      </c>
      <c r="G9" s="663"/>
      <c r="H9" s="667"/>
      <c r="I9" s="668"/>
    </row>
    <row r="10" ht="15.0" customHeight="1">
      <c r="A10" s="661" t="s">
        <v>599</v>
      </c>
      <c r="B10" s="163"/>
      <c r="C10" s="663"/>
      <c r="D10" s="663"/>
      <c r="E10" s="663"/>
      <c r="F10" s="676">
        <v>500.0</v>
      </c>
      <c r="G10" s="663"/>
      <c r="H10" s="667"/>
      <c r="I10" s="668"/>
    </row>
    <row r="11" ht="15.0" customHeight="1">
      <c r="A11" s="661" t="s">
        <v>600</v>
      </c>
      <c r="B11" s="163"/>
      <c r="C11" s="663"/>
      <c r="D11" s="663"/>
      <c r="E11" s="663"/>
      <c r="F11" s="670" t="s">
        <v>601</v>
      </c>
      <c r="G11" s="663"/>
      <c r="H11" s="667"/>
      <c r="I11" s="668"/>
    </row>
    <row r="12" ht="15.0" customHeight="1">
      <c r="A12" s="661" t="s">
        <v>602</v>
      </c>
      <c r="B12" s="163"/>
      <c r="C12" s="663"/>
      <c r="D12" s="663"/>
      <c r="E12" s="663"/>
      <c r="F12" s="665" t="s">
        <v>603</v>
      </c>
      <c r="G12" s="663"/>
      <c r="H12" s="667"/>
      <c r="I12" s="668"/>
    </row>
    <row r="13" ht="15.0" customHeight="1">
      <c r="A13" s="661" t="s">
        <v>604</v>
      </c>
      <c r="B13" s="163"/>
      <c r="C13" s="663"/>
      <c r="D13" s="663"/>
      <c r="E13" s="663"/>
      <c r="F13" s="665" t="s">
        <v>595</v>
      </c>
      <c r="G13" s="663"/>
      <c r="H13" s="667"/>
      <c r="I13" s="668"/>
    </row>
    <row r="14" ht="15.0" customHeight="1">
      <c r="A14" s="661" t="s">
        <v>605</v>
      </c>
      <c r="B14" s="163"/>
      <c r="C14" s="663"/>
      <c r="D14" s="663"/>
      <c r="E14" s="663"/>
      <c r="F14" s="665" t="s">
        <v>606</v>
      </c>
      <c r="G14" s="663"/>
      <c r="H14" s="667"/>
      <c r="I14" s="668"/>
    </row>
    <row r="15" ht="26.25" customHeight="1">
      <c r="A15" s="661" t="s">
        <v>607</v>
      </c>
      <c r="B15" s="163"/>
      <c r="C15" s="681"/>
      <c r="D15" s="681"/>
      <c r="E15" s="681"/>
      <c r="F15" s="665" t="s">
        <v>609</v>
      </c>
      <c r="G15" s="681"/>
      <c r="H15" s="682"/>
      <c r="I15" s="668"/>
    </row>
    <row r="16" ht="15.0" customHeight="1">
      <c r="A16" s="686" t="s">
        <v>610</v>
      </c>
      <c r="B16" s="163"/>
      <c r="C16" s="663"/>
      <c r="D16" s="663"/>
      <c r="E16" s="663"/>
      <c r="F16" s="665" t="s">
        <v>612</v>
      </c>
      <c r="G16" s="663"/>
      <c r="H16" s="667"/>
      <c r="I16" s="668"/>
    </row>
    <row r="17" ht="15.0" customHeight="1">
      <c r="A17" s="661" t="s">
        <v>613</v>
      </c>
      <c r="B17" s="163"/>
      <c r="C17" s="663"/>
      <c r="D17" s="663"/>
      <c r="E17" s="663"/>
      <c r="F17" s="665" t="s">
        <v>614</v>
      </c>
      <c r="G17" s="663"/>
      <c r="H17" s="667"/>
      <c r="I17" s="668"/>
    </row>
    <row r="18" ht="15.0" customHeight="1">
      <c r="A18" s="661" t="s">
        <v>615</v>
      </c>
      <c r="B18" s="163"/>
      <c r="C18" s="663"/>
      <c r="D18" s="663"/>
      <c r="E18" s="663"/>
      <c r="F18" s="665" t="s">
        <v>616</v>
      </c>
      <c r="G18" s="663"/>
      <c r="H18" s="667"/>
      <c r="I18" s="668"/>
    </row>
    <row r="19" ht="15.0" customHeight="1">
      <c r="A19" s="661" t="s">
        <v>617</v>
      </c>
      <c r="B19" s="163"/>
      <c r="C19" s="663"/>
      <c r="D19" s="663"/>
      <c r="E19" s="663"/>
      <c r="F19" s="665" t="s">
        <v>618</v>
      </c>
      <c r="G19" s="663"/>
      <c r="H19" s="667"/>
      <c r="I19" s="668"/>
    </row>
    <row r="20" ht="15.0" customHeight="1">
      <c r="A20" s="661" t="s">
        <v>619</v>
      </c>
      <c r="B20" s="163"/>
      <c r="C20" s="663"/>
      <c r="D20" s="663"/>
      <c r="E20" s="663"/>
      <c r="F20" s="665" t="s">
        <v>606</v>
      </c>
      <c r="G20" s="663"/>
      <c r="H20" s="667"/>
      <c r="I20" s="668"/>
    </row>
    <row r="21" ht="15.0" customHeight="1">
      <c r="A21" s="661" t="s">
        <v>621</v>
      </c>
      <c r="B21" s="163"/>
      <c r="C21" s="663"/>
      <c r="D21" s="663"/>
      <c r="E21" s="663"/>
      <c r="F21" s="694" t="s">
        <v>623</v>
      </c>
      <c r="G21" s="663"/>
      <c r="H21" s="667"/>
      <c r="I21" s="668"/>
    </row>
    <row r="22" ht="15.0" customHeight="1">
      <c r="A22" s="661" t="s">
        <v>626</v>
      </c>
      <c r="B22" s="163"/>
      <c r="C22" s="663"/>
      <c r="D22" s="663"/>
      <c r="E22" s="663"/>
      <c r="F22" s="665" t="s">
        <v>628</v>
      </c>
      <c r="G22" s="663"/>
      <c r="H22" s="667"/>
      <c r="I22" s="668"/>
    </row>
    <row r="23" ht="14.25" customHeight="1">
      <c r="A23" s="698"/>
      <c r="B23" s="163"/>
      <c r="C23" s="663"/>
      <c r="D23" s="663"/>
      <c r="E23" s="663"/>
      <c r="F23" s="698"/>
      <c r="G23" s="663"/>
      <c r="H23" s="663"/>
      <c r="I23" s="668"/>
    </row>
    <row r="24" ht="15.0" customHeight="1">
      <c r="A24" s="661" t="s">
        <v>311</v>
      </c>
      <c r="B24" s="163"/>
      <c r="C24" s="663"/>
      <c r="D24" s="663"/>
      <c r="E24" s="663"/>
      <c r="F24" s="698"/>
      <c r="G24" s="663"/>
      <c r="H24" s="667"/>
      <c r="I24" s="668"/>
    </row>
    <row r="25" ht="15.0" customHeight="1">
      <c r="A25" s="661" t="s">
        <v>630</v>
      </c>
      <c r="B25" s="163"/>
      <c r="C25" s="663"/>
      <c r="D25" s="663"/>
      <c r="E25" s="663"/>
      <c r="F25" s="698"/>
      <c r="G25" s="663"/>
      <c r="H25" s="663"/>
      <c r="I25" s="668"/>
    </row>
    <row r="26" ht="15.0" customHeight="1">
      <c r="A26" s="701" t="s">
        <v>631</v>
      </c>
      <c r="B26" s="380"/>
      <c r="C26" s="380"/>
      <c r="D26" s="380"/>
      <c r="E26" s="380"/>
      <c r="F26" s="380"/>
      <c r="G26" s="702" t="s">
        <v>233</v>
      </c>
      <c r="H26" s="667">
        <f>SUM(H5:H22)</f>
        <v>0</v>
      </c>
      <c r="I26" s="668"/>
    </row>
    <row r="27" ht="96.0" customHeight="1">
      <c r="A27" s="707" t="s">
        <v>635</v>
      </c>
      <c r="B27" s="113"/>
      <c r="C27" s="113"/>
      <c r="D27" s="113"/>
      <c r="E27" s="113"/>
      <c r="F27" s="113"/>
      <c r="G27" s="163"/>
      <c r="H27" s="668"/>
      <c r="I27" s="668"/>
    </row>
    <row r="28" ht="30.0" customHeight="1">
      <c r="A28" s="709" t="s">
        <v>638</v>
      </c>
    </row>
    <row r="29" ht="12.75" customHeight="1"/>
    <row r="30" ht="12.75" customHeight="1"/>
    <row r="31" ht="12.75" customHeight="1">
      <c r="A31" s="710" t="s">
        <v>639</v>
      </c>
      <c r="B31" s="711"/>
      <c r="C31" s="711"/>
      <c r="D31" s="711"/>
      <c r="E31" s="711"/>
      <c r="F31" s="711"/>
      <c r="G31" s="711"/>
      <c r="H31" s="713"/>
      <c r="I31" s="715"/>
      <c r="J31" s="715"/>
      <c r="K31" s="715"/>
      <c r="L31" s="715"/>
      <c r="M31" s="715"/>
      <c r="N31" s="715"/>
      <c r="O31" s="715"/>
      <c r="P31" s="715"/>
      <c r="Q31" s="715"/>
      <c r="R31" s="715"/>
      <c r="S31" s="715"/>
      <c r="T31" s="715"/>
      <c r="U31" s="715"/>
      <c r="V31" s="715"/>
      <c r="W31" s="715"/>
      <c r="X31" s="715"/>
      <c r="Y31" s="715"/>
      <c r="Z31" s="715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">
    <mergeCell ref="A1:I1"/>
    <mergeCell ref="A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A23:B23"/>
    <mergeCell ref="A24:B24"/>
    <mergeCell ref="A25:B25"/>
    <mergeCell ref="A26:F26"/>
    <mergeCell ref="A27:G27"/>
    <mergeCell ref="A28:I28"/>
    <mergeCell ref="A31:H31"/>
    <mergeCell ref="A15:B15"/>
    <mergeCell ref="A16:B16"/>
    <mergeCell ref="A17:B17"/>
    <mergeCell ref="A18:B18"/>
    <mergeCell ref="A19:B19"/>
    <mergeCell ref="A20:B20"/>
    <mergeCell ref="A21:B21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4" max="4" width="18.43"/>
    <col customWidth="1" min="8" max="8" width="20.14"/>
    <col customWidth="1" min="9" max="9" width="18.71"/>
    <col customWidth="1" min="10" max="10" width="15.43"/>
    <col customWidth="1" min="16" max="16" width="9.29"/>
    <col customWidth="1" min="17" max="17" width="18.57"/>
    <col customWidth="1" min="18" max="18" width="11.29"/>
    <col customWidth="1" min="19" max="19" width="13.43"/>
    <col customWidth="1" min="20" max="20" width="9.0"/>
  </cols>
  <sheetData>
    <row r="1">
      <c r="D1" s="678">
        <v>1.0</v>
      </c>
      <c r="E1" s="678">
        <v>2.0</v>
      </c>
      <c r="F1" s="678">
        <v>3.0</v>
      </c>
      <c r="G1" s="678">
        <v>4.0</v>
      </c>
      <c r="H1" s="678">
        <v>5.0</v>
      </c>
      <c r="I1" s="678">
        <v>6.0</v>
      </c>
      <c r="J1" s="678">
        <v>7.0</v>
      </c>
      <c r="K1" s="678">
        <v>8.0</v>
      </c>
      <c r="L1" s="678">
        <v>9.0</v>
      </c>
      <c r="M1" s="678">
        <v>10.0</v>
      </c>
      <c r="N1" s="678">
        <v>11.0</v>
      </c>
      <c r="O1" s="678">
        <v>12.0</v>
      </c>
      <c r="Q1" s="680" t="s">
        <v>608</v>
      </c>
      <c r="R1" s="683">
        <f>-B2</f>
        <v>500000</v>
      </c>
      <c r="T1" s="685" t="s">
        <v>611</v>
      </c>
      <c r="U1" s="624" t="str">
        <f t="shared" ref="U1:U3" si="1">C2</f>
        <v/>
      </c>
    </row>
    <row r="2">
      <c r="A2" s="406" t="s">
        <v>608</v>
      </c>
      <c r="B2" s="687">
        <v>-500000.0</v>
      </c>
      <c r="C2" s="434"/>
      <c r="D2" s="678">
        <v>31.0</v>
      </c>
      <c r="E2" s="678">
        <v>28.0</v>
      </c>
      <c r="F2" s="678">
        <v>31.0</v>
      </c>
      <c r="G2" s="678">
        <v>30.0</v>
      </c>
      <c r="H2" s="678">
        <v>31.0</v>
      </c>
      <c r="I2" s="678">
        <v>30.0</v>
      </c>
      <c r="J2" s="678">
        <v>31.0</v>
      </c>
      <c r="K2" s="678">
        <v>31.0</v>
      </c>
      <c r="L2" s="678">
        <v>30.0</v>
      </c>
      <c r="M2" s="678">
        <v>31.0</v>
      </c>
      <c r="N2" s="678">
        <v>30.0</v>
      </c>
      <c r="O2" s="678">
        <v>31.0</v>
      </c>
      <c r="Q2" s="680" t="s">
        <v>155</v>
      </c>
      <c r="R2" s="690">
        <f t="shared" ref="R2:R4" si="2">B3</f>
        <v>0.03</v>
      </c>
      <c r="T2" s="685" t="s">
        <v>620</v>
      </c>
      <c r="U2" s="624" t="str">
        <f t="shared" si="1"/>
        <v/>
      </c>
    </row>
    <row r="3">
      <c r="A3" s="406" t="s">
        <v>155</v>
      </c>
      <c r="B3" s="692">
        <v>0.03</v>
      </c>
      <c r="C3" s="434"/>
      <c r="Q3" s="685" t="s">
        <v>622</v>
      </c>
      <c r="R3" s="669">
        <f t="shared" si="2"/>
        <v>60</v>
      </c>
      <c r="T3" s="685" t="s">
        <v>95</v>
      </c>
      <c r="U3" s="693" t="str">
        <f t="shared" si="1"/>
        <v/>
      </c>
    </row>
    <row r="4">
      <c r="A4" s="406" t="s">
        <v>624</v>
      </c>
      <c r="B4" s="692">
        <v>60.0</v>
      </c>
      <c r="C4" s="695"/>
      <c r="D4" s="434" t="s">
        <v>625</v>
      </c>
      <c r="E4" s="434">
        <v>21.0</v>
      </c>
      <c r="F4" s="434">
        <v>30.0</v>
      </c>
      <c r="G4" s="434">
        <v>45.0</v>
      </c>
      <c r="H4" s="434">
        <v>50.0</v>
      </c>
      <c r="I4" s="434">
        <v>55.0</v>
      </c>
      <c r="J4" s="434">
        <v>60.0</v>
      </c>
      <c r="Q4" s="680" t="s">
        <v>627</v>
      </c>
      <c r="R4" s="697">
        <f t="shared" si="2"/>
        <v>8984.345332</v>
      </c>
    </row>
    <row r="5">
      <c r="A5" s="406" t="s">
        <v>627</v>
      </c>
      <c r="B5" s="700">
        <f>pmt(B3/12,B4,B2,0,0)</f>
        <v>8984.345332</v>
      </c>
      <c r="D5" s="434" t="s">
        <v>629</v>
      </c>
      <c r="E5" s="28">
        <f t="shared" ref="E5:J5" si="3">VLOOKUP(E4,$B$9:$J$69,3)</f>
        <v>341583.5819</v>
      </c>
      <c r="F5" s="28">
        <f t="shared" si="3"/>
        <v>267674.0852</v>
      </c>
      <c r="G5" s="28">
        <f t="shared" si="3"/>
        <v>140740.1293</v>
      </c>
      <c r="H5" s="28">
        <f t="shared" si="3"/>
        <v>97361.30172</v>
      </c>
      <c r="I5" s="28">
        <f t="shared" si="3"/>
        <v>53437.52078</v>
      </c>
      <c r="J5" s="28">
        <f t="shared" si="3"/>
        <v>8961.940481</v>
      </c>
      <c r="Q5" s="685" t="s">
        <v>632</v>
      </c>
      <c r="R5" s="703">
        <v>300.0</v>
      </c>
    </row>
    <row r="6">
      <c r="A6" s="434" t="s">
        <v>633</v>
      </c>
      <c r="B6" s="704">
        <f>(1000*4)-B5-250</f>
        <v>-5234.345332</v>
      </c>
      <c r="D6" s="705" t="s">
        <v>634</v>
      </c>
      <c r="E6" s="704">
        <f>$B$6*0.35*E$4</f>
        <v>-38472.43819</v>
      </c>
      <c r="F6" s="704">
        <f t="shared" ref="F6:J6" si="4">$B$6*0.35*F4</f>
        <v>-54960.62599</v>
      </c>
      <c r="G6" s="704">
        <f t="shared" si="4"/>
        <v>-82440.93898</v>
      </c>
      <c r="H6" s="704">
        <f t="shared" si="4"/>
        <v>-91601.04331</v>
      </c>
      <c r="I6" s="704">
        <f t="shared" si="4"/>
        <v>-100761.1476</v>
      </c>
      <c r="J6" s="704">
        <f t="shared" si="4"/>
        <v>-109921.252</v>
      </c>
      <c r="Q6" s="685" t="s">
        <v>636</v>
      </c>
      <c r="R6" s="708">
        <v>15000.0</v>
      </c>
    </row>
    <row r="7">
      <c r="D7" s="705" t="s">
        <v>637</v>
      </c>
      <c r="E7" s="704">
        <f t="shared" ref="E7:J7" si="5">$B$6*0.65*E$4</f>
        <v>-71448.81378</v>
      </c>
      <c r="F7" s="704">
        <f t="shared" si="5"/>
        <v>-102069.734</v>
      </c>
      <c r="G7" s="704">
        <f t="shared" si="5"/>
        <v>-153104.601</v>
      </c>
      <c r="H7" s="704">
        <f t="shared" si="5"/>
        <v>-170116.2233</v>
      </c>
      <c r="I7" s="704">
        <f t="shared" si="5"/>
        <v>-187127.8456</v>
      </c>
      <c r="J7" s="704">
        <f t="shared" si="5"/>
        <v>-204139.4679</v>
      </c>
    </row>
    <row r="8">
      <c r="A8" s="434"/>
      <c r="P8" s="671"/>
      <c r="Q8" s="671"/>
      <c r="R8" s="671"/>
      <c r="S8" s="671"/>
      <c r="T8" s="671"/>
      <c r="U8" s="671"/>
    </row>
    <row r="9">
      <c r="A9" s="712" t="s">
        <v>640</v>
      </c>
      <c r="B9" s="163"/>
      <c r="C9" s="714" t="s">
        <v>624</v>
      </c>
      <c r="D9" s="714" t="s">
        <v>641</v>
      </c>
      <c r="E9" s="714" t="s">
        <v>627</v>
      </c>
      <c r="F9" s="716" t="s">
        <v>151</v>
      </c>
      <c r="G9" s="717" t="s">
        <v>642</v>
      </c>
      <c r="H9" s="714" t="s">
        <v>643</v>
      </c>
      <c r="I9" s="714" t="s">
        <v>644</v>
      </c>
      <c r="J9" s="714" t="s">
        <v>645</v>
      </c>
      <c r="K9" s="673"/>
      <c r="L9" s="557"/>
      <c r="M9" s="673"/>
      <c r="N9" s="673"/>
      <c r="O9" s="673"/>
      <c r="P9" s="718" t="s">
        <v>646</v>
      </c>
      <c r="Q9" s="718" t="s">
        <v>647</v>
      </c>
      <c r="R9" s="718" t="s">
        <v>141</v>
      </c>
      <c r="S9" s="718" t="s">
        <v>648</v>
      </c>
      <c r="T9" s="718" t="s">
        <v>649</v>
      </c>
      <c r="U9" s="718" t="s">
        <v>650</v>
      </c>
      <c r="V9" s="720" t="s">
        <v>651</v>
      </c>
      <c r="W9" s="720" t="s">
        <v>652</v>
      </c>
      <c r="X9" s="673"/>
      <c r="Y9" s="673"/>
      <c r="Z9" s="673"/>
    </row>
    <row r="10">
      <c r="A10" s="426">
        <f t="shared" ref="A10:A69" si="6">if(month($C10)=1,$D$2,if(month($C10)=2,$E$2,if(month($C10)=3,$F$2,if(month($C10)=4,$G$2,if(month($C10)=5,$H$2,if(month($C10)=6,$I$2,if(month($C10)=7,$J$2,if(month($C10)=8,$K$2,if(month($C10)=9,$L$2,if(month($C10)=10,$M$2,if(month($C10)=11,$N$2,if(month($C10)=12,$O$2))))))))))))</f>
        <v>30</v>
      </c>
      <c r="B10" s="406">
        <v>1.0</v>
      </c>
      <c r="C10" s="725">
        <f>today()</f>
        <v>46279</v>
      </c>
      <c r="D10" s="173">
        <f>B2*-1</f>
        <v>500000</v>
      </c>
      <c r="E10" s="173">
        <f t="shared" ref="E10:E69" si="7">$B$5</f>
        <v>8984.345332</v>
      </c>
      <c r="F10" s="610">
        <f t="shared" ref="F10:F69" si="8">$E10-$G10</f>
        <v>7734.345332</v>
      </c>
      <c r="G10" s="729">
        <f t="shared" ref="G10:G69" si="9">$D10*($B$3/12)</f>
        <v>1250</v>
      </c>
      <c r="H10" s="411">
        <v>0.0</v>
      </c>
      <c r="I10" s="411">
        <v>0.0</v>
      </c>
      <c r="J10" s="173">
        <f t="shared" ref="J10:J69" si="11">D10-F10</f>
        <v>492265.6547</v>
      </c>
      <c r="P10" s="426">
        <f t="shared" ref="P10:P69" si="12">B10</f>
        <v>1</v>
      </c>
      <c r="Q10" s="173">
        <f t="shared" ref="Q10:Q69" si="13">E10</f>
        <v>8984.345332</v>
      </c>
      <c r="R10" s="730">
        <f t="shared" ref="R10:R69" si="14">$R$5</f>
        <v>300</v>
      </c>
      <c r="S10" s="732">
        <f t="shared" ref="S10:S69" si="15">$R$6</f>
        <v>15000</v>
      </c>
      <c r="T10" s="732">
        <f t="shared" ref="T10:T69" si="16">S10-R10-Q10</f>
        <v>5715.654668</v>
      </c>
      <c r="U10" s="173">
        <f t="shared" ref="U10:U69" si="17">J10</f>
        <v>492265.6547</v>
      </c>
      <c r="V10" s="730">
        <f t="shared" ref="V10:V69" si="18">T10*0.35</f>
        <v>2000.479134</v>
      </c>
      <c r="W10" s="734">
        <f t="shared" ref="W10:W69" si="19">T10*0.65</f>
        <v>3715.175534</v>
      </c>
    </row>
    <row r="11">
      <c r="A11" s="426">
        <f t="shared" si="6"/>
        <v>31</v>
      </c>
      <c r="B11" s="406">
        <v>2.0</v>
      </c>
      <c r="C11" s="725">
        <f t="shared" ref="C11:C69" si="20">C10+A10</f>
        <v>46309</v>
      </c>
      <c r="D11" s="173">
        <f t="shared" ref="D11:D69" si="21">$J10</f>
        <v>492265.6547</v>
      </c>
      <c r="E11" s="173">
        <f t="shared" si="7"/>
        <v>8984.345332</v>
      </c>
      <c r="F11" s="610">
        <f t="shared" si="8"/>
        <v>7753.681195</v>
      </c>
      <c r="G11" s="729">
        <f t="shared" si="9"/>
        <v>1230.664137</v>
      </c>
      <c r="H11" s="173">
        <f t="shared" ref="H11:I11" si="10">F10+F11</f>
        <v>15488.02653</v>
      </c>
      <c r="I11" s="173">
        <f t="shared" si="10"/>
        <v>2480.664137</v>
      </c>
      <c r="J11" s="173">
        <f t="shared" si="11"/>
        <v>484511.9735</v>
      </c>
      <c r="P11" s="426">
        <f t="shared" si="12"/>
        <v>2</v>
      </c>
      <c r="Q11" s="173">
        <f t="shared" si="13"/>
        <v>8984.345332</v>
      </c>
      <c r="R11" s="730">
        <f t="shared" si="14"/>
        <v>300</v>
      </c>
      <c r="S11" s="732">
        <f t="shared" si="15"/>
        <v>15000</v>
      </c>
      <c r="T11" s="732">
        <f t="shared" si="16"/>
        <v>5715.654668</v>
      </c>
      <c r="U11" s="173">
        <f t="shared" si="17"/>
        <v>484511.9735</v>
      </c>
      <c r="V11" s="730">
        <f t="shared" si="18"/>
        <v>2000.479134</v>
      </c>
      <c r="W11" s="734">
        <f t="shared" si="19"/>
        <v>3715.175534</v>
      </c>
    </row>
    <row r="12">
      <c r="A12" s="426">
        <f t="shared" si="6"/>
        <v>30</v>
      </c>
      <c r="B12" s="406">
        <v>3.0</v>
      </c>
      <c r="C12" s="725">
        <f t="shared" si="20"/>
        <v>46340</v>
      </c>
      <c r="D12" s="173">
        <f t="shared" si="21"/>
        <v>484511.9735</v>
      </c>
      <c r="E12" s="173">
        <f t="shared" si="7"/>
        <v>8984.345332</v>
      </c>
      <c r="F12" s="610">
        <f t="shared" si="8"/>
        <v>7773.065398</v>
      </c>
      <c r="G12" s="729">
        <f t="shared" si="9"/>
        <v>1211.279934</v>
      </c>
      <c r="H12" s="173">
        <f t="shared" ref="H12:I12" si="22">H11+F12</f>
        <v>23261.09193</v>
      </c>
      <c r="I12" s="173">
        <f t="shared" si="22"/>
        <v>3691.94407</v>
      </c>
      <c r="J12" s="173">
        <f t="shared" si="11"/>
        <v>476738.9081</v>
      </c>
      <c r="P12" s="426">
        <f t="shared" si="12"/>
        <v>3</v>
      </c>
      <c r="Q12" s="173">
        <f t="shared" si="13"/>
        <v>8984.345332</v>
      </c>
      <c r="R12" s="730">
        <f t="shared" si="14"/>
        <v>300</v>
      </c>
      <c r="S12" s="732">
        <f t="shared" si="15"/>
        <v>15000</v>
      </c>
      <c r="T12" s="732">
        <f t="shared" si="16"/>
        <v>5715.654668</v>
      </c>
      <c r="U12" s="173">
        <f t="shared" si="17"/>
        <v>476738.9081</v>
      </c>
      <c r="V12" s="730">
        <f t="shared" si="18"/>
        <v>2000.479134</v>
      </c>
      <c r="W12" s="734">
        <f t="shared" si="19"/>
        <v>3715.175534</v>
      </c>
    </row>
    <row r="13">
      <c r="A13" s="426">
        <f t="shared" si="6"/>
        <v>31</v>
      </c>
      <c r="B13" s="406">
        <v>4.0</v>
      </c>
      <c r="C13" s="725">
        <f t="shared" si="20"/>
        <v>46370</v>
      </c>
      <c r="D13" s="173">
        <f t="shared" si="21"/>
        <v>476738.9081</v>
      </c>
      <c r="E13" s="173">
        <f t="shared" si="7"/>
        <v>8984.345332</v>
      </c>
      <c r="F13" s="610">
        <f t="shared" si="8"/>
        <v>7792.498062</v>
      </c>
      <c r="G13" s="729">
        <f t="shared" si="9"/>
        <v>1191.84727</v>
      </c>
      <c r="H13" s="173">
        <f t="shared" ref="H13:I13" si="23">H12+F13</f>
        <v>31053.58999</v>
      </c>
      <c r="I13" s="173">
        <f t="shared" si="23"/>
        <v>4883.791341</v>
      </c>
      <c r="J13" s="173">
        <f t="shared" si="11"/>
        <v>468946.41</v>
      </c>
      <c r="P13" s="426">
        <f t="shared" si="12"/>
        <v>4</v>
      </c>
      <c r="Q13" s="173">
        <f t="shared" si="13"/>
        <v>8984.345332</v>
      </c>
      <c r="R13" s="730">
        <f t="shared" si="14"/>
        <v>300</v>
      </c>
      <c r="S13" s="732">
        <f t="shared" si="15"/>
        <v>15000</v>
      </c>
      <c r="T13" s="732">
        <f t="shared" si="16"/>
        <v>5715.654668</v>
      </c>
      <c r="U13" s="173">
        <f t="shared" si="17"/>
        <v>468946.41</v>
      </c>
      <c r="V13" s="730">
        <f t="shared" si="18"/>
        <v>2000.479134</v>
      </c>
      <c r="W13" s="734">
        <f t="shared" si="19"/>
        <v>3715.175534</v>
      </c>
    </row>
    <row r="14">
      <c r="A14" s="426">
        <f t="shared" si="6"/>
        <v>31</v>
      </c>
      <c r="B14" s="406">
        <v>5.0</v>
      </c>
      <c r="C14" s="725">
        <f t="shared" si="20"/>
        <v>46401</v>
      </c>
      <c r="D14" s="173">
        <f t="shared" si="21"/>
        <v>468946.41</v>
      </c>
      <c r="E14" s="173">
        <f t="shared" si="7"/>
        <v>8984.345332</v>
      </c>
      <c r="F14" s="610">
        <f t="shared" si="8"/>
        <v>7811.979307</v>
      </c>
      <c r="G14" s="729">
        <f t="shared" si="9"/>
        <v>1172.366025</v>
      </c>
      <c r="H14" s="173">
        <f t="shared" ref="H14:I14" si="24">H13+F14</f>
        <v>38865.56929</v>
      </c>
      <c r="I14" s="173">
        <f t="shared" si="24"/>
        <v>6056.157366</v>
      </c>
      <c r="J14" s="173">
        <f t="shared" si="11"/>
        <v>461134.4307</v>
      </c>
      <c r="P14" s="426">
        <f t="shared" si="12"/>
        <v>5</v>
      </c>
      <c r="Q14" s="173">
        <f t="shared" si="13"/>
        <v>8984.345332</v>
      </c>
      <c r="R14" s="730">
        <f t="shared" si="14"/>
        <v>300</v>
      </c>
      <c r="S14" s="732">
        <f t="shared" si="15"/>
        <v>15000</v>
      </c>
      <c r="T14" s="732">
        <f t="shared" si="16"/>
        <v>5715.654668</v>
      </c>
      <c r="U14" s="173">
        <f t="shared" si="17"/>
        <v>461134.4307</v>
      </c>
      <c r="V14" s="730">
        <f t="shared" si="18"/>
        <v>2000.479134</v>
      </c>
      <c r="W14" s="734">
        <f t="shared" si="19"/>
        <v>3715.175534</v>
      </c>
    </row>
    <row r="15">
      <c r="A15" s="426">
        <f t="shared" si="6"/>
        <v>28</v>
      </c>
      <c r="B15" s="406">
        <v>6.0</v>
      </c>
      <c r="C15" s="725">
        <f t="shared" si="20"/>
        <v>46432</v>
      </c>
      <c r="D15" s="173">
        <f t="shared" si="21"/>
        <v>461134.4307</v>
      </c>
      <c r="E15" s="173">
        <f t="shared" si="7"/>
        <v>8984.345332</v>
      </c>
      <c r="F15" s="610">
        <f t="shared" si="8"/>
        <v>7831.509255</v>
      </c>
      <c r="G15" s="729">
        <f t="shared" si="9"/>
        <v>1152.836077</v>
      </c>
      <c r="H15" s="173">
        <f t="shared" ref="H15:I15" si="25">H14+F15</f>
        <v>46697.07855</v>
      </c>
      <c r="I15" s="173">
        <f t="shared" si="25"/>
        <v>7208.993442</v>
      </c>
      <c r="J15" s="173">
        <f t="shared" si="11"/>
        <v>453302.9215</v>
      </c>
      <c r="P15" s="426">
        <f t="shared" si="12"/>
        <v>6</v>
      </c>
      <c r="Q15" s="173">
        <f t="shared" si="13"/>
        <v>8984.345332</v>
      </c>
      <c r="R15" s="730">
        <f t="shared" si="14"/>
        <v>300</v>
      </c>
      <c r="S15" s="732">
        <f t="shared" si="15"/>
        <v>15000</v>
      </c>
      <c r="T15" s="732">
        <f t="shared" si="16"/>
        <v>5715.654668</v>
      </c>
      <c r="U15" s="173">
        <f t="shared" si="17"/>
        <v>453302.9215</v>
      </c>
      <c r="V15" s="730">
        <f t="shared" si="18"/>
        <v>2000.479134</v>
      </c>
      <c r="W15" s="734">
        <f t="shared" si="19"/>
        <v>3715.175534</v>
      </c>
    </row>
    <row r="16">
      <c r="A16" s="426">
        <f t="shared" si="6"/>
        <v>31</v>
      </c>
      <c r="B16" s="406">
        <v>7.0</v>
      </c>
      <c r="C16" s="725">
        <f t="shared" si="20"/>
        <v>46460</v>
      </c>
      <c r="D16" s="173">
        <f t="shared" si="21"/>
        <v>453302.9215</v>
      </c>
      <c r="E16" s="173">
        <f t="shared" si="7"/>
        <v>8984.345332</v>
      </c>
      <c r="F16" s="610">
        <f t="shared" si="8"/>
        <v>7851.088028</v>
      </c>
      <c r="G16" s="729">
        <f t="shared" si="9"/>
        <v>1133.257304</v>
      </c>
      <c r="H16" s="173">
        <f t="shared" ref="H16:I16" si="26">H15+F16</f>
        <v>54548.16658</v>
      </c>
      <c r="I16" s="173">
        <f t="shared" si="26"/>
        <v>8342.250746</v>
      </c>
      <c r="J16" s="173">
        <f t="shared" si="11"/>
        <v>445451.8334</v>
      </c>
      <c r="P16" s="426">
        <f t="shared" si="12"/>
        <v>7</v>
      </c>
      <c r="Q16" s="173">
        <f t="shared" si="13"/>
        <v>8984.345332</v>
      </c>
      <c r="R16" s="730">
        <f t="shared" si="14"/>
        <v>300</v>
      </c>
      <c r="S16" s="732">
        <f t="shared" si="15"/>
        <v>15000</v>
      </c>
      <c r="T16" s="732">
        <f t="shared" si="16"/>
        <v>5715.654668</v>
      </c>
      <c r="U16" s="173">
        <f t="shared" si="17"/>
        <v>445451.8334</v>
      </c>
      <c r="V16" s="730">
        <f t="shared" si="18"/>
        <v>2000.479134</v>
      </c>
      <c r="W16" s="734">
        <f t="shared" si="19"/>
        <v>3715.175534</v>
      </c>
    </row>
    <row r="17">
      <c r="A17" s="426">
        <f t="shared" si="6"/>
        <v>30</v>
      </c>
      <c r="B17" s="406">
        <v>8.0</v>
      </c>
      <c r="C17" s="725">
        <f t="shared" si="20"/>
        <v>46491</v>
      </c>
      <c r="D17" s="173">
        <f t="shared" si="21"/>
        <v>445451.8334</v>
      </c>
      <c r="E17" s="173">
        <f t="shared" si="7"/>
        <v>8984.345332</v>
      </c>
      <c r="F17" s="610">
        <f t="shared" si="8"/>
        <v>7870.715748</v>
      </c>
      <c r="G17" s="729">
        <f t="shared" si="9"/>
        <v>1113.629584</v>
      </c>
      <c r="H17" s="173">
        <f t="shared" ref="H17:I17" si="27">H16+F17</f>
        <v>62418.88233</v>
      </c>
      <c r="I17" s="173">
        <f t="shared" si="27"/>
        <v>9455.88033</v>
      </c>
      <c r="J17" s="173">
        <f t="shared" si="11"/>
        <v>437581.1177</v>
      </c>
      <c r="P17" s="426">
        <f t="shared" si="12"/>
        <v>8</v>
      </c>
      <c r="Q17" s="173">
        <f t="shared" si="13"/>
        <v>8984.345332</v>
      </c>
      <c r="R17" s="730">
        <f t="shared" si="14"/>
        <v>300</v>
      </c>
      <c r="S17" s="732">
        <f t="shared" si="15"/>
        <v>15000</v>
      </c>
      <c r="T17" s="732">
        <f t="shared" si="16"/>
        <v>5715.654668</v>
      </c>
      <c r="U17" s="173">
        <f t="shared" si="17"/>
        <v>437581.1177</v>
      </c>
      <c r="V17" s="730">
        <f t="shared" si="18"/>
        <v>2000.479134</v>
      </c>
      <c r="W17" s="734">
        <f t="shared" si="19"/>
        <v>3715.175534</v>
      </c>
    </row>
    <row r="18">
      <c r="A18" s="426">
        <f t="shared" si="6"/>
        <v>31</v>
      </c>
      <c r="B18" s="406">
        <v>9.0</v>
      </c>
      <c r="C18" s="725">
        <f t="shared" si="20"/>
        <v>46521</v>
      </c>
      <c r="D18" s="173">
        <f t="shared" si="21"/>
        <v>437581.1177</v>
      </c>
      <c r="E18" s="173">
        <f t="shared" si="7"/>
        <v>8984.345332</v>
      </c>
      <c r="F18" s="610">
        <f t="shared" si="8"/>
        <v>7890.392538</v>
      </c>
      <c r="G18" s="729">
        <f t="shared" si="9"/>
        <v>1093.952794</v>
      </c>
      <c r="H18" s="173">
        <f t="shared" ref="H18:I18" si="28">H17+F18</f>
        <v>70309.27486</v>
      </c>
      <c r="I18" s="173">
        <f t="shared" si="28"/>
        <v>10549.83312</v>
      </c>
      <c r="J18" s="173">
        <f t="shared" si="11"/>
        <v>429690.7251</v>
      </c>
      <c r="P18" s="426">
        <f t="shared" si="12"/>
        <v>9</v>
      </c>
      <c r="Q18" s="173">
        <f t="shared" si="13"/>
        <v>8984.345332</v>
      </c>
      <c r="R18" s="730">
        <f t="shared" si="14"/>
        <v>300</v>
      </c>
      <c r="S18" s="732">
        <f t="shared" si="15"/>
        <v>15000</v>
      </c>
      <c r="T18" s="732">
        <f t="shared" si="16"/>
        <v>5715.654668</v>
      </c>
      <c r="U18" s="173">
        <f t="shared" si="17"/>
        <v>429690.7251</v>
      </c>
      <c r="V18" s="730">
        <f t="shared" si="18"/>
        <v>2000.479134</v>
      </c>
      <c r="W18" s="734">
        <f t="shared" si="19"/>
        <v>3715.175534</v>
      </c>
    </row>
    <row r="19">
      <c r="A19" s="426">
        <f t="shared" si="6"/>
        <v>30</v>
      </c>
      <c r="B19" s="406">
        <v>10.0</v>
      </c>
      <c r="C19" s="725">
        <f t="shared" si="20"/>
        <v>46552</v>
      </c>
      <c r="D19" s="173">
        <f t="shared" si="21"/>
        <v>429690.7251</v>
      </c>
      <c r="E19" s="173">
        <f t="shared" si="7"/>
        <v>8984.345332</v>
      </c>
      <c r="F19" s="610">
        <f t="shared" si="8"/>
        <v>7910.118519</v>
      </c>
      <c r="G19" s="729">
        <f t="shared" si="9"/>
        <v>1074.226813</v>
      </c>
      <c r="H19" s="173">
        <f t="shared" ref="H19:I19" si="29">H18+F19</f>
        <v>78219.39338</v>
      </c>
      <c r="I19" s="173">
        <f t="shared" si="29"/>
        <v>11624.05994</v>
      </c>
      <c r="J19" s="173">
        <f t="shared" si="11"/>
        <v>421780.6066</v>
      </c>
      <c r="P19" s="426">
        <f t="shared" si="12"/>
        <v>10</v>
      </c>
      <c r="Q19" s="173">
        <f t="shared" si="13"/>
        <v>8984.345332</v>
      </c>
      <c r="R19" s="730">
        <f t="shared" si="14"/>
        <v>300</v>
      </c>
      <c r="S19" s="732">
        <f t="shared" si="15"/>
        <v>15000</v>
      </c>
      <c r="T19" s="732">
        <f t="shared" si="16"/>
        <v>5715.654668</v>
      </c>
      <c r="U19" s="173">
        <f t="shared" si="17"/>
        <v>421780.6066</v>
      </c>
      <c r="V19" s="730">
        <f t="shared" si="18"/>
        <v>2000.479134</v>
      </c>
      <c r="W19" s="734">
        <f t="shared" si="19"/>
        <v>3715.175534</v>
      </c>
    </row>
    <row r="20">
      <c r="A20" s="426">
        <f t="shared" si="6"/>
        <v>31</v>
      </c>
      <c r="B20" s="406">
        <v>11.0</v>
      </c>
      <c r="C20" s="725">
        <f t="shared" si="20"/>
        <v>46582</v>
      </c>
      <c r="D20" s="173">
        <f t="shared" si="21"/>
        <v>421780.6066</v>
      </c>
      <c r="E20" s="173">
        <f t="shared" si="7"/>
        <v>8984.345332</v>
      </c>
      <c r="F20" s="610">
        <f t="shared" si="8"/>
        <v>7929.893815</v>
      </c>
      <c r="G20" s="729">
        <f t="shared" si="9"/>
        <v>1054.451517</v>
      </c>
      <c r="H20" s="173">
        <f t="shared" ref="H20:I20" si="30">H19+F20</f>
        <v>86149.2872</v>
      </c>
      <c r="I20" s="173">
        <f t="shared" si="30"/>
        <v>12678.51145</v>
      </c>
      <c r="J20" s="173">
        <f t="shared" si="11"/>
        <v>413850.7128</v>
      </c>
      <c r="P20" s="426">
        <f t="shared" si="12"/>
        <v>11</v>
      </c>
      <c r="Q20" s="173">
        <f t="shared" si="13"/>
        <v>8984.345332</v>
      </c>
      <c r="R20" s="730">
        <f t="shared" si="14"/>
        <v>300</v>
      </c>
      <c r="S20" s="732">
        <f t="shared" si="15"/>
        <v>15000</v>
      </c>
      <c r="T20" s="732">
        <f t="shared" si="16"/>
        <v>5715.654668</v>
      </c>
      <c r="U20" s="173">
        <f t="shared" si="17"/>
        <v>413850.7128</v>
      </c>
      <c r="V20" s="730">
        <f t="shared" si="18"/>
        <v>2000.479134</v>
      </c>
      <c r="W20" s="734">
        <f t="shared" si="19"/>
        <v>3715.175534</v>
      </c>
    </row>
    <row r="21">
      <c r="A21" s="750">
        <f t="shared" si="6"/>
        <v>31</v>
      </c>
      <c r="B21" s="751">
        <v>12.0</v>
      </c>
      <c r="C21" s="752">
        <f t="shared" si="20"/>
        <v>46613</v>
      </c>
      <c r="D21" s="753">
        <f t="shared" si="21"/>
        <v>413850.7128</v>
      </c>
      <c r="E21" s="753">
        <f t="shared" si="7"/>
        <v>8984.345332</v>
      </c>
      <c r="F21" s="754">
        <f t="shared" si="8"/>
        <v>7949.71855</v>
      </c>
      <c r="G21" s="755">
        <f t="shared" si="9"/>
        <v>1034.626782</v>
      </c>
      <c r="H21" s="753">
        <f t="shared" ref="H21:I21" si="31">H20+F21</f>
        <v>94099.00575</v>
      </c>
      <c r="I21" s="753">
        <f t="shared" si="31"/>
        <v>13713.13824</v>
      </c>
      <c r="J21" s="753">
        <f t="shared" si="11"/>
        <v>405900.9943</v>
      </c>
      <c r="K21" s="756"/>
      <c r="L21" s="756"/>
      <c r="M21" s="756"/>
      <c r="N21" s="756"/>
      <c r="O21" s="756"/>
      <c r="P21" s="750">
        <f t="shared" si="12"/>
        <v>12</v>
      </c>
      <c r="Q21" s="753">
        <f t="shared" si="13"/>
        <v>8984.345332</v>
      </c>
      <c r="R21" s="757">
        <f t="shared" si="14"/>
        <v>300</v>
      </c>
      <c r="S21" s="758">
        <f t="shared" si="15"/>
        <v>15000</v>
      </c>
      <c r="T21" s="758">
        <f t="shared" si="16"/>
        <v>5715.654668</v>
      </c>
      <c r="U21" s="753">
        <f t="shared" si="17"/>
        <v>405900.9943</v>
      </c>
      <c r="V21" s="757">
        <f t="shared" si="18"/>
        <v>2000.479134</v>
      </c>
      <c r="W21" s="759">
        <f t="shared" si="19"/>
        <v>3715.175534</v>
      </c>
      <c r="X21" s="756"/>
      <c r="Y21" s="756"/>
      <c r="Z21" s="756"/>
    </row>
    <row r="22">
      <c r="A22" s="426">
        <f t="shared" si="6"/>
        <v>30</v>
      </c>
      <c r="B22" s="406">
        <v>13.0</v>
      </c>
      <c r="C22" s="725">
        <f t="shared" si="20"/>
        <v>46644</v>
      </c>
      <c r="D22" s="173">
        <f t="shared" si="21"/>
        <v>405900.9943</v>
      </c>
      <c r="E22" s="173">
        <f t="shared" si="7"/>
        <v>8984.345332</v>
      </c>
      <c r="F22" s="610">
        <f t="shared" si="8"/>
        <v>7969.592846</v>
      </c>
      <c r="G22" s="729">
        <f t="shared" si="9"/>
        <v>1014.752486</v>
      </c>
      <c r="H22" s="173">
        <f t="shared" ref="H22:I22" si="32">H21+F22</f>
        <v>102068.5986</v>
      </c>
      <c r="I22" s="173">
        <f t="shared" si="32"/>
        <v>14727.89072</v>
      </c>
      <c r="J22" s="173">
        <f t="shared" si="11"/>
        <v>397931.4014</v>
      </c>
      <c r="P22" s="426">
        <f t="shared" si="12"/>
        <v>13</v>
      </c>
      <c r="Q22" s="173">
        <f t="shared" si="13"/>
        <v>8984.345332</v>
      </c>
      <c r="R22" s="730">
        <f t="shared" si="14"/>
        <v>300</v>
      </c>
      <c r="S22" s="732">
        <f t="shared" si="15"/>
        <v>15000</v>
      </c>
      <c r="T22" s="732">
        <f t="shared" si="16"/>
        <v>5715.654668</v>
      </c>
      <c r="U22" s="173">
        <f t="shared" si="17"/>
        <v>397931.4014</v>
      </c>
      <c r="V22" s="730">
        <f t="shared" si="18"/>
        <v>2000.479134</v>
      </c>
      <c r="W22" s="734">
        <f t="shared" si="19"/>
        <v>3715.175534</v>
      </c>
    </row>
    <row r="23">
      <c r="A23" s="426">
        <f t="shared" si="6"/>
        <v>31</v>
      </c>
      <c r="B23" s="406">
        <v>14.0</v>
      </c>
      <c r="C23" s="725">
        <f t="shared" si="20"/>
        <v>46674</v>
      </c>
      <c r="D23" s="173">
        <f t="shared" si="21"/>
        <v>397931.4014</v>
      </c>
      <c r="E23" s="173">
        <f t="shared" si="7"/>
        <v>8984.345332</v>
      </c>
      <c r="F23" s="610">
        <f t="shared" si="8"/>
        <v>7989.516829</v>
      </c>
      <c r="G23" s="729">
        <f t="shared" si="9"/>
        <v>994.8285035</v>
      </c>
      <c r="H23" s="173">
        <f t="shared" ref="H23:I23" si="33">H22+F23</f>
        <v>110058.1154</v>
      </c>
      <c r="I23" s="173">
        <f t="shared" si="33"/>
        <v>15722.71922</v>
      </c>
      <c r="J23" s="173">
        <f t="shared" si="11"/>
        <v>389941.8846</v>
      </c>
      <c r="P23" s="426">
        <f t="shared" si="12"/>
        <v>14</v>
      </c>
      <c r="Q23" s="173">
        <f t="shared" si="13"/>
        <v>8984.345332</v>
      </c>
      <c r="R23" s="730">
        <f t="shared" si="14"/>
        <v>300</v>
      </c>
      <c r="S23" s="732">
        <f t="shared" si="15"/>
        <v>15000</v>
      </c>
      <c r="T23" s="732">
        <f t="shared" si="16"/>
        <v>5715.654668</v>
      </c>
      <c r="U23" s="173">
        <f t="shared" si="17"/>
        <v>389941.8846</v>
      </c>
      <c r="V23" s="730">
        <f t="shared" si="18"/>
        <v>2000.479134</v>
      </c>
      <c r="W23" s="734">
        <f t="shared" si="19"/>
        <v>3715.175534</v>
      </c>
    </row>
    <row r="24">
      <c r="A24" s="426">
        <f t="shared" si="6"/>
        <v>30</v>
      </c>
      <c r="B24" s="406">
        <v>15.0</v>
      </c>
      <c r="C24" s="725">
        <f t="shared" si="20"/>
        <v>46705</v>
      </c>
      <c r="D24" s="173">
        <f t="shared" si="21"/>
        <v>389941.8846</v>
      </c>
      <c r="E24" s="173">
        <f t="shared" si="7"/>
        <v>8984.345332</v>
      </c>
      <c r="F24" s="610">
        <f t="shared" si="8"/>
        <v>8009.490621</v>
      </c>
      <c r="G24" s="729">
        <f t="shared" si="9"/>
        <v>974.8547114</v>
      </c>
      <c r="H24" s="173">
        <f t="shared" ref="H24:I24" si="34">H23+F24</f>
        <v>118067.606</v>
      </c>
      <c r="I24" s="173">
        <f t="shared" si="34"/>
        <v>16697.57394</v>
      </c>
      <c r="J24" s="173">
        <f t="shared" si="11"/>
        <v>381932.394</v>
      </c>
      <c r="P24" s="426">
        <f t="shared" si="12"/>
        <v>15</v>
      </c>
      <c r="Q24" s="173">
        <f t="shared" si="13"/>
        <v>8984.345332</v>
      </c>
      <c r="R24" s="730">
        <f t="shared" si="14"/>
        <v>300</v>
      </c>
      <c r="S24" s="732">
        <f t="shared" si="15"/>
        <v>15000</v>
      </c>
      <c r="T24" s="732">
        <f t="shared" si="16"/>
        <v>5715.654668</v>
      </c>
      <c r="U24" s="173">
        <f t="shared" si="17"/>
        <v>381932.394</v>
      </c>
      <c r="V24" s="730">
        <f t="shared" si="18"/>
        <v>2000.479134</v>
      </c>
      <c r="W24" s="734">
        <f t="shared" si="19"/>
        <v>3715.175534</v>
      </c>
    </row>
    <row r="25">
      <c r="A25" s="426">
        <f t="shared" si="6"/>
        <v>31</v>
      </c>
      <c r="B25" s="406">
        <v>16.0</v>
      </c>
      <c r="C25" s="725">
        <f t="shared" si="20"/>
        <v>46735</v>
      </c>
      <c r="D25" s="173">
        <f t="shared" si="21"/>
        <v>381932.394</v>
      </c>
      <c r="E25" s="173">
        <f t="shared" si="7"/>
        <v>8984.345332</v>
      </c>
      <c r="F25" s="610">
        <f t="shared" si="8"/>
        <v>8029.514347</v>
      </c>
      <c r="G25" s="729">
        <f t="shared" si="9"/>
        <v>954.8309849</v>
      </c>
      <c r="H25" s="173">
        <f t="shared" ref="H25:I25" si="35">H24+F25</f>
        <v>126097.1204</v>
      </c>
      <c r="I25" s="173">
        <f t="shared" si="35"/>
        <v>17652.40492</v>
      </c>
      <c r="J25" s="173">
        <f t="shared" si="11"/>
        <v>373902.8796</v>
      </c>
      <c r="P25" s="426">
        <f t="shared" si="12"/>
        <v>16</v>
      </c>
      <c r="Q25" s="173">
        <f t="shared" si="13"/>
        <v>8984.345332</v>
      </c>
      <c r="R25" s="730">
        <f t="shared" si="14"/>
        <v>300</v>
      </c>
      <c r="S25" s="732">
        <f t="shared" si="15"/>
        <v>15000</v>
      </c>
      <c r="T25" s="732">
        <f t="shared" si="16"/>
        <v>5715.654668</v>
      </c>
      <c r="U25" s="173">
        <f t="shared" si="17"/>
        <v>373902.8796</v>
      </c>
      <c r="V25" s="730">
        <f t="shared" si="18"/>
        <v>2000.479134</v>
      </c>
      <c r="W25" s="734">
        <f t="shared" si="19"/>
        <v>3715.175534</v>
      </c>
    </row>
    <row r="26">
      <c r="A26" s="426">
        <f t="shared" si="6"/>
        <v>31</v>
      </c>
      <c r="B26" s="406">
        <v>17.0</v>
      </c>
      <c r="C26" s="725">
        <f t="shared" si="20"/>
        <v>46766</v>
      </c>
      <c r="D26" s="173">
        <f t="shared" si="21"/>
        <v>373902.8796</v>
      </c>
      <c r="E26" s="173">
        <f t="shared" si="7"/>
        <v>8984.345332</v>
      </c>
      <c r="F26" s="610">
        <f t="shared" si="8"/>
        <v>8049.588133</v>
      </c>
      <c r="G26" s="729">
        <f t="shared" si="9"/>
        <v>934.757199</v>
      </c>
      <c r="H26" s="173">
        <f t="shared" ref="H26:I26" si="36">H25+F26</f>
        <v>134146.7085</v>
      </c>
      <c r="I26" s="173">
        <f t="shared" si="36"/>
        <v>18587.16212</v>
      </c>
      <c r="J26" s="173">
        <f t="shared" si="11"/>
        <v>365853.2915</v>
      </c>
      <c r="P26" s="426">
        <f t="shared" si="12"/>
        <v>17</v>
      </c>
      <c r="Q26" s="173">
        <f t="shared" si="13"/>
        <v>8984.345332</v>
      </c>
      <c r="R26" s="730">
        <f t="shared" si="14"/>
        <v>300</v>
      </c>
      <c r="S26" s="732">
        <f t="shared" si="15"/>
        <v>15000</v>
      </c>
      <c r="T26" s="732">
        <f t="shared" si="16"/>
        <v>5715.654668</v>
      </c>
      <c r="U26" s="173">
        <f t="shared" si="17"/>
        <v>365853.2915</v>
      </c>
      <c r="V26" s="730">
        <f t="shared" si="18"/>
        <v>2000.479134</v>
      </c>
      <c r="W26" s="734">
        <f t="shared" si="19"/>
        <v>3715.175534</v>
      </c>
    </row>
    <row r="27">
      <c r="A27" s="426">
        <f t="shared" si="6"/>
        <v>28</v>
      </c>
      <c r="B27" s="406">
        <v>18.0</v>
      </c>
      <c r="C27" s="725">
        <f t="shared" si="20"/>
        <v>46797</v>
      </c>
      <c r="D27" s="173">
        <f t="shared" si="21"/>
        <v>365853.2915</v>
      </c>
      <c r="E27" s="173">
        <f t="shared" si="7"/>
        <v>8984.345332</v>
      </c>
      <c r="F27" s="610">
        <f t="shared" si="8"/>
        <v>8069.712103</v>
      </c>
      <c r="G27" s="729">
        <f t="shared" si="9"/>
        <v>914.6332287</v>
      </c>
      <c r="H27" s="173">
        <f t="shared" ref="H27:I27" si="37">H26+F27</f>
        <v>142216.4206</v>
      </c>
      <c r="I27" s="173">
        <f t="shared" si="37"/>
        <v>19501.79535</v>
      </c>
      <c r="J27" s="173">
        <f t="shared" si="11"/>
        <v>357783.5794</v>
      </c>
      <c r="P27" s="426">
        <f t="shared" si="12"/>
        <v>18</v>
      </c>
      <c r="Q27" s="173">
        <f t="shared" si="13"/>
        <v>8984.345332</v>
      </c>
      <c r="R27" s="730">
        <f t="shared" si="14"/>
        <v>300</v>
      </c>
      <c r="S27" s="732">
        <f t="shared" si="15"/>
        <v>15000</v>
      </c>
      <c r="T27" s="732">
        <f t="shared" si="16"/>
        <v>5715.654668</v>
      </c>
      <c r="U27" s="173">
        <f t="shared" si="17"/>
        <v>357783.5794</v>
      </c>
      <c r="V27" s="730">
        <f t="shared" si="18"/>
        <v>2000.479134</v>
      </c>
      <c r="W27" s="734">
        <f t="shared" si="19"/>
        <v>3715.175534</v>
      </c>
    </row>
    <row r="28">
      <c r="A28" s="426">
        <f t="shared" si="6"/>
        <v>31</v>
      </c>
      <c r="B28" s="406">
        <v>19.0</v>
      </c>
      <c r="C28" s="725">
        <f t="shared" si="20"/>
        <v>46825</v>
      </c>
      <c r="D28" s="173">
        <f t="shared" si="21"/>
        <v>357783.5794</v>
      </c>
      <c r="E28" s="173">
        <f t="shared" si="7"/>
        <v>8984.345332</v>
      </c>
      <c r="F28" s="610">
        <f t="shared" si="8"/>
        <v>8089.886384</v>
      </c>
      <c r="G28" s="729">
        <f t="shared" si="9"/>
        <v>894.4589484</v>
      </c>
      <c r="H28" s="173">
        <f t="shared" ref="H28:I28" si="38">H27+F28</f>
        <v>150306.307</v>
      </c>
      <c r="I28" s="173">
        <f t="shared" si="38"/>
        <v>20396.2543</v>
      </c>
      <c r="J28" s="173">
        <f t="shared" si="11"/>
        <v>349693.693</v>
      </c>
      <c r="P28" s="426">
        <f t="shared" si="12"/>
        <v>19</v>
      </c>
      <c r="Q28" s="173">
        <f t="shared" si="13"/>
        <v>8984.345332</v>
      </c>
      <c r="R28" s="730">
        <f t="shared" si="14"/>
        <v>300</v>
      </c>
      <c r="S28" s="732">
        <f t="shared" si="15"/>
        <v>15000</v>
      </c>
      <c r="T28" s="732">
        <f t="shared" si="16"/>
        <v>5715.654668</v>
      </c>
      <c r="U28" s="173">
        <f t="shared" si="17"/>
        <v>349693.693</v>
      </c>
      <c r="V28" s="730">
        <f t="shared" si="18"/>
        <v>2000.479134</v>
      </c>
      <c r="W28" s="734">
        <f t="shared" si="19"/>
        <v>3715.175534</v>
      </c>
    </row>
    <row r="29">
      <c r="A29" s="426">
        <f t="shared" si="6"/>
        <v>30</v>
      </c>
      <c r="B29" s="406">
        <v>20.0</v>
      </c>
      <c r="C29" s="725">
        <f t="shared" si="20"/>
        <v>46856</v>
      </c>
      <c r="D29" s="173">
        <f t="shared" si="21"/>
        <v>349693.693</v>
      </c>
      <c r="E29" s="173">
        <f t="shared" si="7"/>
        <v>8984.345332</v>
      </c>
      <c r="F29" s="610">
        <f t="shared" si="8"/>
        <v>8110.1111</v>
      </c>
      <c r="G29" s="729">
        <f t="shared" si="9"/>
        <v>874.2342325</v>
      </c>
      <c r="H29" s="173">
        <f t="shared" ref="H29:I29" si="39">H28+F29</f>
        <v>158416.4181</v>
      </c>
      <c r="I29" s="173">
        <f t="shared" si="39"/>
        <v>21270.48853</v>
      </c>
      <c r="J29" s="173">
        <f t="shared" si="11"/>
        <v>341583.5819</v>
      </c>
      <c r="P29" s="426">
        <f t="shared" si="12"/>
        <v>20</v>
      </c>
      <c r="Q29" s="173">
        <f t="shared" si="13"/>
        <v>8984.345332</v>
      </c>
      <c r="R29" s="730">
        <f t="shared" si="14"/>
        <v>300</v>
      </c>
      <c r="S29" s="732">
        <f t="shared" si="15"/>
        <v>15000</v>
      </c>
      <c r="T29" s="732">
        <f t="shared" si="16"/>
        <v>5715.654668</v>
      </c>
      <c r="U29" s="173">
        <f t="shared" si="17"/>
        <v>341583.5819</v>
      </c>
      <c r="V29" s="730">
        <f t="shared" si="18"/>
        <v>2000.479134</v>
      </c>
      <c r="W29" s="734">
        <f t="shared" si="19"/>
        <v>3715.175534</v>
      </c>
    </row>
    <row r="30">
      <c r="A30" s="426">
        <f t="shared" si="6"/>
        <v>31</v>
      </c>
      <c r="B30" s="406">
        <v>21.0</v>
      </c>
      <c r="C30" s="725">
        <f t="shared" si="20"/>
        <v>46886</v>
      </c>
      <c r="D30" s="173">
        <f t="shared" si="21"/>
        <v>341583.5819</v>
      </c>
      <c r="E30" s="173">
        <f t="shared" si="7"/>
        <v>8984.345332</v>
      </c>
      <c r="F30" s="610">
        <f t="shared" si="8"/>
        <v>8130.386377</v>
      </c>
      <c r="G30" s="729">
        <f t="shared" si="9"/>
        <v>853.9589547</v>
      </c>
      <c r="H30" s="173">
        <f t="shared" ref="H30:I30" si="40">H29+F30</f>
        <v>166546.8045</v>
      </c>
      <c r="I30" s="173">
        <f t="shared" si="40"/>
        <v>22124.44748</v>
      </c>
      <c r="J30" s="173">
        <f t="shared" si="11"/>
        <v>333453.1955</v>
      </c>
      <c r="P30" s="426">
        <f t="shared" si="12"/>
        <v>21</v>
      </c>
      <c r="Q30" s="173">
        <f t="shared" si="13"/>
        <v>8984.345332</v>
      </c>
      <c r="R30" s="730">
        <f t="shared" si="14"/>
        <v>300</v>
      </c>
      <c r="S30" s="732">
        <f t="shared" si="15"/>
        <v>15000</v>
      </c>
      <c r="T30" s="732">
        <f t="shared" si="16"/>
        <v>5715.654668</v>
      </c>
      <c r="U30" s="173">
        <f t="shared" si="17"/>
        <v>333453.1955</v>
      </c>
      <c r="V30" s="730">
        <f t="shared" si="18"/>
        <v>2000.479134</v>
      </c>
      <c r="W30" s="734">
        <f t="shared" si="19"/>
        <v>3715.175534</v>
      </c>
    </row>
    <row r="31">
      <c r="A31" s="426">
        <f t="shared" si="6"/>
        <v>30</v>
      </c>
      <c r="B31" s="406">
        <v>22.0</v>
      </c>
      <c r="C31" s="725">
        <f t="shared" si="20"/>
        <v>46917</v>
      </c>
      <c r="D31" s="173">
        <f t="shared" si="21"/>
        <v>333453.1955</v>
      </c>
      <c r="E31" s="173">
        <f t="shared" si="7"/>
        <v>8984.345332</v>
      </c>
      <c r="F31" s="610">
        <f t="shared" si="8"/>
        <v>8150.712343</v>
      </c>
      <c r="G31" s="729">
        <f t="shared" si="9"/>
        <v>833.6329888</v>
      </c>
      <c r="H31" s="173">
        <f t="shared" ref="H31:I31" si="41">H30+F31</f>
        <v>174697.5168</v>
      </c>
      <c r="I31" s="173">
        <f t="shared" si="41"/>
        <v>22958.08047</v>
      </c>
      <c r="J31" s="173">
        <f t="shared" si="11"/>
        <v>325302.4832</v>
      </c>
      <c r="P31" s="426">
        <f t="shared" si="12"/>
        <v>22</v>
      </c>
      <c r="Q31" s="173">
        <f t="shared" si="13"/>
        <v>8984.345332</v>
      </c>
      <c r="R31" s="730">
        <f t="shared" si="14"/>
        <v>300</v>
      </c>
      <c r="S31" s="732">
        <f t="shared" si="15"/>
        <v>15000</v>
      </c>
      <c r="T31" s="732">
        <f t="shared" si="16"/>
        <v>5715.654668</v>
      </c>
      <c r="U31" s="173">
        <f t="shared" si="17"/>
        <v>325302.4832</v>
      </c>
      <c r="V31" s="730">
        <f t="shared" si="18"/>
        <v>2000.479134</v>
      </c>
      <c r="W31" s="734">
        <f t="shared" si="19"/>
        <v>3715.175534</v>
      </c>
    </row>
    <row r="32">
      <c r="A32" s="426">
        <f t="shared" si="6"/>
        <v>31</v>
      </c>
      <c r="B32" s="406">
        <v>23.0</v>
      </c>
      <c r="C32" s="725">
        <f t="shared" si="20"/>
        <v>46947</v>
      </c>
      <c r="D32" s="173">
        <f t="shared" si="21"/>
        <v>325302.4832</v>
      </c>
      <c r="E32" s="173">
        <f t="shared" si="7"/>
        <v>8984.345332</v>
      </c>
      <c r="F32" s="610">
        <f t="shared" si="8"/>
        <v>8171.089124</v>
      </c>
      <c r="G32" s="729">
        <f t="shared" si="9"/>
        <v>813.2562079</v>
      </c>
      <c r="H32" s="173">
        <f t="shared" ref="H32:I32" si="42">H31+F32</f>
        <v>182868.606</v>
      </c>
      <c r="I32" s="173">
        <f t="shared" si="42"/>
        <v>23771.33668</v>
      </c>
      <c r="J32" s="173">
        <f t="shared" si="11"/>
        <v>317131.394</v>
      </c>
      <c r="P32" s="426">
        <f t="shared" si="12"/>
        <v>23</v>
      </c>
      <c r="Q32" s="173">
        <f t="shared" si="13"/>
        <v>8984.345332</v>
      </c>
      <c r="R32" s="730">
        <f t="shared" si="14"/>
        <v>300</v>
      </c>
      <c r="S32" s="732">
        <f t="shared" si="15"/>
        <v>15000</v>
      </c>
      <c r="T32" s="732">
        <f t="shared" si="16"/>
        <v>5715.654668</v>
      </c>
      <c r="U32" s="173">
        <f t="shared" si="17"/>
        <v>317131.394</v>
      </c>
      <c r="V32" s="730">
        <f t="shared" si="18"/>
        <v>2000.479134</v>
      </c>
      <c r="W32" s="734">
        <f t="shared" si="19"/>
        <v>3715.175534</v>
      </c>
    </row>
    <row r="33">
      <c r="A33" s="750">
        <f t="shared" si="6"/>
        <v>31</v>
      </c>
      <c r="B33" s="751">
        <v>24.0</v>
      </c>
      <c r="C33" s="752">
        <f t="shared" si="20"/>
        <v>46978</v>
      </c>
      <c r="D33" s="753">
        <f t="shared" si="21"/>
        <v>317131.394</v>
      </c>
      <c r="E33" s="753">
        <f t="shared" si="7"/>
        <v>8984.345332</v>
      </c>
      <c r="F33" s="754">
        <f t="shared" si="8"/>
        <v>8191.516847</v>
      </c>
      <c r="G33" s="755">
        <f t="shared" si="9"/>
        <v>792.8284851</v>
      </c>
      <c r="H33" s="753">
        <f t="shared" ref="H33:I33" si="43">H32+F33</f>
        <v>191060.1228</v>
      </c>
      <c r="I33" s="753">
        <f t="shared" si="43"/>
        <v>24564.16517</v>
      </c>
      <c r="J33" s="753">
        <f t="shared" si="11"/>
        <v>308939.8772</v>
      </c>
      <c r="K33" s="756"/>
      <c r="L33" s="756"/>
      <c r="M33" s="756"/>
      <c r="N33" s="756"/>
      <c r="O33" s="756"/>
      <c r="P33" s="750">
        <f t="shared" si="12"/>
        <v>24</v>
      </c>
      <c r="Q33" s="753">
        <f t="shared" si="13"/>
        <v>8984.345332</v>
      </c>
      <c r="R33" s="757">
        <f t="shared" si="14"/>
        <v>300</v>
      </c>
      <c r="S33" s="758">
        <f t="shared" si="15"/>
        <v>15000</v>
      </c>
      <c r="T33" s="758">
        <f t="shared" si="16"/>
        <v>5715.654668</v>
      </c>
      <c r="U33" s="753">
        <f t="shared" si="17"/>
        <v>308939.8772</v>
      </c>
      <c r="V33" s="757">
        <f t="shared" si="18"/>
        <v>2000.479134</v>
      </c>
      <c r="W33" s="759">
        <f t="shared" si="19"/>
        <v>3715.175534</v>
      </c>
      <c r="X33" s="756"/>
      <c r="Y33" s="756"/>
      <c r="Z33" s="756"/>
    </row>
    <row r="34">
      <c r="A34" s="426">
        <f t="shared" si="6"/>
        <v>30</v>
      </c>
      <c r="B34" s="406">
        <v>25.0</v>
      </c>
      <c r="C34" s="725">
        <f t="shared" si="20"/>
        <v>47009</v>
      </c>
      <c r="D34" s="173">
        <f t="shared" si="21"/>
        <v>308939.8772</v>
      </c>
      <c r="E34" s="173">
        <f t="shared" si="7"/>
        <v>8984.345332</v>
      </c>
      <c r="F34" s="610">
        <f t="shared" si="8"/>
        <v>8211.995639</v>
      </c>
      <c r="G34" s="729">
        <f t="shared" si="9"/>
        <v>772.349693</v>
      </c>
      <c r="H34" s="173">
        <f t="shared" ref="H34:I34" si="44">H33+F34</f>
        <v>199272.1184</v>
      </c>
      <c r="I34" s="173">
        <f t="shared" si="44"/>
        <v>25336.51486</v>
      </c>
      <c r="J34" s="173">
        <f t="shared" si="11"/>
        <v>300727.8816</v>
      </c>
      <c r="P34" s="426">
        <f t="shared" si="12"/>
        <v>25</v>
      </c>
      <c r="Q34" s="173">
        <f t="shared" si="13"/>
        <v>8984.345332</v>
      </c>
      <c r="R34" s="730">
        <f t="shared" si="14"/>
        <v>300</v>
      </c>
      <c r="S34" s="732">
        <f t="shared" si="15"/>
        <v>15000</v>
      </c>
      <c r="T34" s="732">
        <f t="shared" si="16"/>
        <v>5715.654668</v>
      </c>
      <c r="U34" s="173">
        <f t="shared" si="17"/>
        <v>300727.8816</v>
      </c>
      <c r="V34" s="730">
        <f t="shared" si="18"/>
        <v>2000.479134</v>
      </c>
      <c r="W34" s="734">
        <f t="shared" si="19"/>
        <v>3715.175534</v>
      </c>
    </row>
    <row r="35">
      <c r="A35" s="426">
        <f t="shared" si="6"/>
        <v>31</v>
      </c>
      <c r="B35" s="406">
        <v>26.0</v>
      </c>
      <c r="C35" s="725">
        <f t="shared" si="20"/>
        <v>47039</v>
      </c>
      <c r="D35" s="173">
        <f t="shared" si="21"/>
        <v>300727.8816</v>
      </c>
      <c r="E35" s="173">
        <f t="shared" si="7"/>
        <v>8984.345332</v>
      </c>
      <c r="F35" s="610">
        <f t="shared" si="8"/>
        <v>8232.525628</v>
      </c>
      <c r="G35" s="729">
        <f t="shared" si="9"/>
        <v>751.8197039</v>
      </c>
      <c r="H35" s="173">
        <f t="shared" ref="H35:I35" si="45">H34+F35</f>
        <v>207504.6441</v>
      </c>
      <c r="I35" s="173">
        <f t="shared" si="45"/>
        <v>26088.33456</v>
      </c>
      <c r="J35" s="173">
        <f t="shared" si="11"/>
        <v>292495.3559</v>
      </c>
      <c r="P35" s="426">
        <f t="shared" si="12"/>
        <v>26</v>
      </c>
      <c r="Q35" s="173">
        <f t="shared" si="13"/>
        <v>8984.345332</v>
      </c>
      <c r="R35" s="730">
        <f t="shared" si="14"/>
        <v>300</v>
      </c>
      <c r="S35" s="732">
        <f t="shared" si="15"/>
        <v>15000</v>
      </c>
      <c r="T35" s="732">
        <f t="shared" si="16"/>
        <v>5715.654668</v>
      </c>
      <c r="U35" s="173">
        <f t="shared" si="17"/>
        <v>292495.3559</v>
      </c>
      <c r="V35" s="730">
        <f t="shared" si="18"/>
        <v>2000.479134</v>
      </c>
      <c r="W35" s="734">
        <f t="shared" si="19"/>
        <v>3715.175534</v>
      </c>
    </row>
    <row r="36">
      <c r="A36" s="426">
        <f t="shared" si="6"/>
        <v>30</v>
      </c>
      <c r="B36" s="406">
        <v>27.0</v>
      </c>
      <c r="C36" s="725">
        <f t="shared" si="20"/>
        <v>47070</v>
      </c>
      <c r="D36" s="173">
        <f t="shared" si="21"/>
        <v>292495.3559</v>
      </c>
      <c r="E36" s="173">
        <f t="shared" si="7"/>
        <v>8984.345332</v>
      </c>
      <c r="F36" s="610">
        <f t="shared" si="8"/>
        <v>8253.106942</v>
      </c>
      <c r="G36" s="729">
        <f t="shared" si="9"/>
        <v>731.2383898</v>
      </c>
      <c r="H36" s="173">
        <f t="shared" ref="H36:I36" si="46">H35+F36</f>
        <v>215757.751</v>
      </c>
      <c r="I36" s="173">
        <f t="shared" si="46"/>
        <v>26819.57295</v>
      </c>
      <c r="J36" s="173">
        <f t="shared" si="11"/>
        <v>284242.249</v>
      </c>
      <c r="P36" s="426">
        <f t="shared" si="12"/>
        <v>27</v>
      </c>
      <c r="Q36" s="173">
        <f t="shared" si="13"/>
        <v>8984.345332</v>
      </c>
      <c r="R36" s="730">
        <f t="shared" si="14"/>
        <v>300</v>
      </c>
      <c r="S36" s="732">
        <f t="shared" si="15"/>
        <v>15000</v>
      </c>
      <c r="T36" s="732">
        <f t="shared" si="16"/>
        <v>5715.654668</v>
      </c>
      <c r="U36" s="173">
        <f t="shared" si="17"/>
        <v>284242.249</v>
      </c>
      <c r="V36" s="730">
        <f t="shared" si="18"/>
        <v>2000.479134</v>
      </c>
      <c r="W36" s="734">
        <f t="shared" si="19"/>
        <v>3715.175534</v>
      </c>
    </row>
    <row r="37">
      <c r="A37" s="426">
        <f t="shared" si="6"/>
        <v>31</v>
      </c>
      <c r="B37" s="406">
        <v>28.0</v>
      </c>
      <c r="C37" s="725">
        <f t="shared" si="20"/>
        <v>47100</v>
      </c>
      <c r="D37" s="173">
        <f t="shared" si="21"/>
        <v>284242.249</v>
      </c>
      <c r="E37" s="173">
        <f t="shared" si="7"/>
        <v>8984.345332</v>
      </c>
      <c r="F37" s="610">
        <f t="shared" si="8"/>
        <v>8273.73971</v>
      </c>
      <c r="G37" s="729">
        <f t="shared" si="9"/>
        <v>710.6056225</v>
      </c>
      <c r="H37" s="173">
        <f t="shared" ref="H37:I37" si="47">H36+F37</f>
        <v>224031.4907</v>
      </c>
      <c r="I37" s="173">
        <f t="shared" si="47"/>
        <v>27530.17857</v>
      </c>
      <c r="J37" s="173">
        <f t="shared" si="11"/>
        <v>275968.5093</v>
      </c>
      <c r="P37" s="426">
        <f t="shared" si="12"/>
        <v>28</v>
      </c>
      <c r="Q37" s="173">
        <f t="shared" si="13"/>
        <v>8984.345332</v>
      </c>
      <c r="R37" s="730">
        <f t="shared" si="14"/>
        <v>300</v>
      </c>
      <c r="S37" s="732">
        <f t="shared" si="15"/>
        <v>15000</v>
      </c>
      <c r="T37" s="732">
        <f t="shared" si="16"/>
        <v>5715.654668</v>
      </c>
      <c r="U37" s="173">
        <f t="shared" si="17"/>
        <v>275968.5093</v>
      </c>
      <c r="V37" s="730">
        <f t="shared" si="18"/>
        <v>2000.479134</v>
      </c>
      <c r="W37" s="734">
        <f t="shared" si="19"/>
        <v>3715.175534</v>
      </c>
    </row>
    <row r="38">
      <c r="A38" s="426">
        <f t="shared" si="6"/>
        <v>31</v>
      </c>
      <c r="B38" s="406">
        <v>29.0</v>
      </c>
      <c r="C38" s="725">
        <f t="shared" si="20"/>
        <v>47131</v>
      </c>
      <c r="D38" s="173">
        <f t="shared" si="21"/>
        <v>275968.5093</v>
      </c>
      <c r="E38" s="173">
        <f t="shared" si="7"/>
        <v>8984.345332</v>
      </c>
      <c r="F38" s="610">
        <f t="shared" si="8"/>
        <v>8294.424059</v>
      </c>
      <c r="G38" s="729">
        <f t="shared" si="9"/>
        <v>689.9212732</v>
      </c>
      <c r="H38" s="173">
        <f t="shared" ref="H38:I38" si="48">H37+F38</f>
        <v>232325.9148</v>
      </c>
      <c r="I38" s="173">
        <f t="shared" si="48"/>
        <v>28220.09985</v>
      </c>
      <c r="J38" s="173">
        <f t="shared" si="11"/>
        <v>267674.0852</v>
      </c>
      <c r="P38" s="426">
        <f t="shared" si="12"/>
        <v>29</v>
      </c>
      <c r="Q38" s="173">
        <f t="shared" si="13"/>
        <v>8984.345332</v>
      </c>
      <c r="R38" s="730">
        <f t="shared" si="14"/>
        <v>300</v>
      </c>
      <c r="S38" s="732">
        <f t="shared" si="15"/>
        <v>15000</v>
      </c>
      <c r="T38" s="732">
        <f t="shared" si="16"/>
        <v>5715.654668</v>
      </c>
      <c r="U38" s="173">
        <f t="shared" si="17"/>
        <v>267674.0852</v>
      </c>
      <c r="V38" s="730">
        <f t="shared" si="18"/>
        <v>2000.479134</v>
      </c>
      <c r="W38" s="734">
        <f t="shared" si="19"/>
        <v>3715.175534</v>
      </c>
    </row>
    <row r="39">
      <c r="A39" s="426">
        <f t="shared" si="6"/>
        <v>28</v>
      </c>
      <c r="B39" s="406">
        <v>30.0</v>
      </c>
      <c r="C39" s="725">
        <f t="shared" si="20"/>
        <v>47162</v>
      </c>
      <c r="D39" s="173">
        <f t="shared" si="21"/>
        <v>267674.0852</v>
      </c>
      <c r="E39" s="173">
        <f t="shared" si="7"/>
        <v>8984.345332</v>
      </c>
      <c r="F39" s="610">
        <f t="shared" si="8"/>
        <v>8315.160119</v>
      </c>
      <c r="G39" s="729">
        <f t="shared" si="9"/>
        <v>669.185213</v>
      </c>
      <c r="H39" s="173">
        <f t="shared" ref="H39:I39" si="49">H38+F39</f>
        <v>240641.0749</v>
      </c>
      <c r="I39" s="173">
        <f t="shared" si="49"/>
        <v>28889.28506</v>
      </c>
      <c r="J39" s="173">
        <f t="shared" si="11"/>
        <v>259358.9251</v>
      </c>
      <c r="P39" s="426">
        <f t="shared" si="12"/>
        <v>30</v>
      </c>
      <c r="Q39" s="173">
        <f t="shared" si="13"/>
        <v>8984.345332</v>
      </c>
      <c r="R39" s="730">
        <f t="shared" si="14"/>
        <v>300</v>
      </c>
      <c r="S39" s="732">
        <f t="shared" si="15"/>
        <v>15000</v>
      </c>
      <c r="T39" s="732">
        <f t="shared" si="16"/>
        <v>5715.654668</v>
      </c>
      <c r="U39" s="173">
        <f t="shared" si="17"/>
        <v>259358.9251</v>
      </c>
      <c r="V39" s="730">
        <f t="shared" si="18"/>
        <v>2000.479134</v>
      </c>
      <c r="W39" s="734">
        <f t="shared" si="19"/>
        <v>3715.175534</v>
      </c>
    </row>
    <row r="40">
      <c r="A40" s="426">
        <f t="shared" si="6"/>
        <v>31</v>
      </c>
      <c r="B40" s="406">
        <v>31.0</v>
      </c>
      <c r="C40" s="725">
        <f t="shared" si="20"/>
        <v>47190</v>
      </c>
      <c r="D40" s="173">
        <f t="shared" si="21"/>
        <v>259358.9251</v>
      </c>
      <c r="E40" s="173">
        <f t="shared" si="7"/>
        <v>8984.345332</v>
      </c>
      <c r="F40" s="610">
        <f t="shared" si="8"/>
        <v>8335.948019</v>
      </c>
      <c r="G40" s="729">
        <f t="shared" si="9"/>
        <v>648.3973128</v>
      </c>
      <c r="H40" s="173">
        <f t="shared" ref="H40:I40" si="50">H39+F40</f>
        <v>248977.0229</v>
      </c>
      <c r="I40" s="173">
        <f t="shared" si="50"/>
        <v>29537.68237</v>
      </c>
      <c r="J40" s="173">
        <f t="shared" si="11"/>
        <v>251022.9771</v>
      </c>
      <c r="P40" s="426">
        <f t="shared" si="12"/>
        <v>31</v>
      </c>
      <c r="Q40" s="173">
        <f t="shared" si="13"/>
        <v>8984.345332</v>
      </c>
      <c r="R40" s="730">
        <f t="shared" si="14"/>
        <v>300</v>
      </c>
      <c r="S40" s="732">
        <f t="shared" si="15"/>
        <v>15000</v>
      </c>
      <c r="T40" s="732">
        <f t="shared" si="16"/>
        <v>5715.654668</v>
      </c>
      <c r="U40" s="173">
        <f t="shared" si="17"/>
        <v>251022.9771</v>
      </c>
      <c r="V40" s="730">
        <f t="shared" si="18"/>
        <v>2000.479134</v>
      </c>
      <c r="W40" s="734">
        <f t="shared" si="19"/>
        <v>3715.175534</v>
      </c>
    </row>
    <row r="41">
      <c r="A41" s="426">
        <f t="shared" si="6"/>
        <v>30</v>
      </c>
      <c r="B41" s="406">
        <v>32.0</v>
      </c>
      <c r="C41" s="725">
        <f t="shared" si="20"/>
        <v>47221</v>
      </c>
      <c r="D41" s="173">
        <f t="shared" si="21"/>
        <v>251022.9771</v>
      </c>
      <c r="E41" s="173">
        <f t="shared" si="7"/>
        <v>8984.345332</v>
      </c>
      <c r="F41" s="610">
        <f t="shared" si="8"/>
        <v>8356.787889</v>
      </c>
      <c r="G41" s="729">
        <f t="shared" si="9"/>
        <v>627.5574427</v>
      </c>
      <c r="H41" s="173">
        <f t="shared" ref="H41:I41" si="51">H40+F41</f>
        <v>257333.8108</v>
      </c>
      <c r="I41" s="173">
        <f t="shared" si="51"/>
        <v>30165.23982</v>
      </c>
      <c r="J41" s="173">
        <f t="shared" si="11"/>
        <v>242666.1892</v>
      </c>
      <c r="P41" s="426">
        <f t="shared" si="12"/>
        <v>32</v>
      </c>
      <c r="Q41" s="173">
        <f t="shared" si="13"/>
        <v>8984.345332</v>
      </c>
      <c r="R41" s="730">
        <f t="shared" si="14"/>
        <v>300</v>
      </c>
      <c r="S41" s="732">
        <f t="shared" si="15"/>
        <v>15000</v>
      </c>
      <c r="T41" s="732">
        <f t="shared" si="16"/>
        <v>5715.654668</v>
      </c>
      <c r="U41" s="173">
        <f t="shared" si="17"/>
        <v>242666.1892</v>
      </c>
      <c r="V41" s="730">
        <f t="shared" si="18"/>
        <v>2000.479134</v>
      </c>
      <c r="W41" s="734">
        <f t="shared" si="19"/>
        <v>3715.175534</v>
      </c>
    </row>
    <row r="42">
      <c r="A42" s="426">
        <f t="shared" si="6"/>
        <v>31</v>
      </c>
      <c r="B42" s="406">
        <v>33.0</v>
      </c>
      <c r="C42" s="725">
        <f t="shared" si="20"/>
        <v>47251</v>
      </c>
      <c r="D42" s="173">
        <f t="shared" si="21"/>
        <v>242666.1892</v>
      </c>
      <c r="E42" s="173">
        <f t="shared" si="7"/>
        <v>8984.345332</v>
      </c>
      <c r="F42" s="610">
        <f t="shared" si="8"/>
        <v>8377.679859</v>
      </c>
      <c r="G42" s="729">
        <f t="shared" si="9"/>
        <v>606.665473</v>
      </c>
      <c r="H42" s="173">
        <f t="shared" ref="H42:I42" si="52">H41+F42</f>
        <v>265711.4907</v>
      </c>
      <c r="I42" s="173">
        <f t="shared" si="52"/>
        <v>30771.90529</v>
      </c>
      <c r="J42" s="173">
        <f t="shared" si="11"/>
        <v>234288.5093</v>
      </c>
      <c r="P42" s="426">
        <f t="shared" si="12"/>
        <v>33</v>
      </c>
      <c r="Q42" s="173">
        <f t="shared" si="13"/>
        <v>8984.345332</v>
      </c>
      <c r="R42" s="730">
        <f t="shared" si="14"/>
        <v>300</v>
      </c>
      <c r="S42" s="732">
        <f t="shared" si="15"/>
        <v>15000</v>
      </c>
      <c r="T42" s="732">
        <f t="shared" si="16"/>
        <v>5715.654668</v>
      </c>
      <c r="U42" s="173">
        <f t="shared" si="17"/>
        <v>234288.5093</v>
      </c>
      <c r="V42" s="730">
        <f t="shared" si="18"/>
        <v>2000.479134</v>
      </c>
      <c r="W42" s="734">
        <f t="shared" si="19"/>
        <v>3715.175534</v>
      </c>
    </row>
    <row r="43">
      <c r="A43" s="426">
        <f t="shared" si="6"/>
        <v>30</v>
      </c>
      <c r="B43" s="406">
        <v>34.0</v>
      </c>
      <c r="C43" s="725">
        <f t="shared" si="20"/>
        <v>47282</v>
      </c>
      <c r="D43" s="173">
        <f t="shared" si="21"/>
        <v>234288.5093</v>
      </c>
      <c r="E43" s="173">
        <f t="shared" si="7"/>
        <v>8984.345332</v>
      </c>
      <c r="F43" s="610">
        <f t="shared" si="8"/>
        <v>8398.624059</v>
      </c>
      <c r="G43" s="729">
        <f t="shared" si="9"/>
        <v>585.7212733</v>
      </c>
      <c r="H43" s="173">
        <f t="shared" ref="H43:I43" si="53">H42+F43</f>
        <v>274110.1147</v>
      </c>
      <c r="I43" s="173">
        <f t="shared" si="53"/>
        <v>31357.62656</v>
      </c>
      <c r="J43" s="173">
        <f t="shared" si="11"/>
        <v>225889.8853</v>
      </c>
      <c r="P43" s="426">
        <f t="shared" si="12"/>
        <v>34</v>
      </c>
      <c r="Q43" s="173">
        <f t="shared" si="13"/>
        <v>8984.345332</v>
      </c>
      <c r="R43" s="730">
        <f t="shared" si="14"/>
        <v>300</v>
      </c>
      <c r="S43" s="732">
        <f t="shared" si="15"/>
        <v>15000</v>
      </c>
      <c r="T43" s="732">
        <f t="shared" si="16"/>
        <v>5715.654668</v>
      </c>
      <c r="U43" s="173">
        <f t="shared" si="17"/>
        <v>225889.8853</v>
      </c>
      <c r="V43" s="730">
        <f t="shared" si="18"/>
        <v>2000.479134</v>
      </c>
      <c r="W43" s="734">
        <f t="shared" si="19"/>
        <v>3715.175534</v>
      </c>
    </row>
    <row r="44">
      <c r="A44" s="426">
        <f t="shared" si="6"/>
        <v>31</v>
      </c>
      <c r="B44" s="406">
        <v>35.0</v>
      </c>
      <c r="C44" s="725">
        <f t="shared" si="20"/>
        <v>47312</v>
      </c>
      <c r="D44" s="173">
        <f t="shared" si="21"/>
        <v>225889.8853</v>
      </c>
      <c r="E44" s="173">
        <f t="shared" si="7"/>
        <v>8984.345332</v>
      </c>
      <c r="F44" s="610">
        <f t="shared" si="8"/>
        <v>8419.620619</v>
      </c>
      <c r="G44" s="729">
        <f t="shared" si="9"/>
        <v>564.7247132</v>
      </c>
      <c r="H44" s="173">
        <f t="shared" ref="H44:I44" si="54">H43+F44</f>
        <v>282529.7353</v>
      </c>
      <c r="I44" s="173">
        <f t="shared" si="54"/>
        <v>31922.35128</v>
      </c>
      <c r="J44" s="173">
        <f t="shared" si="11"/>
        <v>217470.2647</v>
      </c>
      <c r="P44" s="426">
        <f t="shared" si="12"/>
        <v>35</v>
      </c>
      <c r="Q44" s="173">
        <f t="shared" si="13"/>
        <v>8984.345332</v>
      </c>
      <c r="R44" s="730">
        <f t="shared" si="14"/>
        <v>300</v>
      </c>
      <c r="S44" s="732">
        <f t="shared" si="15"/>
        <v>15000</v>
      </c>
      <c r="T44" s="732">
        <f t="shared" si="16"/>
        <v>5715.654668</v>
      </c>
      <c r="U44" s="173">
        <f t="shared" si="17"/>
        <v>217470.2647</v>
      </c>
      <c r="V44" s="730">
        <f t="shared" si="18"/>
        <v>2000.479134</v>
      </c>
      <c r="W44" s="734">
        <f t="shared" si="19"/>
        <v>3715.175534</v>
      </c>
    </row>
    <row r="45">
      <c r="A45" s="750">
        <f t="shared" si="6"/>
        <v>31</v>
      </c>
      <c r="B45" s="751">
        <v>36.0</v>
      </c>
      <c r="C45" s="752">
        <f t="shared" si="20"/>
        <v>47343</v>
      </c>
      <c r="D45" s="753">
        <f t="shared" si="21"/>
        <v>217470.2647</v>
      </c>
      <c r="E45" s="753">
        <f t="shared" si="7"/>
        <v>8984.345332</v>
      </c>
      <c r="F45" s="754">
        <f t="shared" si="8"/>
        <v>8440.66967</v>
      </c>
      <c r="G45" s="755">
        <f t="shared" si="9"/>
        <v>543.6756616</v>
      </c>
      <c r="H45" s="753">
        <f t="shared" ref="H45:I45" si="55">H44+F45</f>
        <v>290970.405</v>
      </c>
      <c r="I45" s="753">
        <f t="shared" si="55"/>
        <v>32466.02694</v>
      </c>
      <c r="J45" s="753">
        <f t="shared" si="11"/>
        <v>209029.595</v>
      </c>
      <c r="K45" s="756"/>
      <c r="L45" s="756"/>
      <c r="M45" s="756"/>
      <c r="N45" s="756"/>
      <c r="O45" s="756"/>
      <c r="P45" s="750">
        <f t="shared" si="12"/>
        <v>36</v>
      </c>
      <c r="Q45" s="753">
        <f t="shared" si="13"/>
        <v>8984.345332</v>
      </c>
      <c r="R45" s="757">
        <f t="shared" si="14"/>
        <v>300</v>
      </c>
      <c r="S45" s="758">
        <f t="shared" si="15"/>
        <v>15000</v>
      </c>
      <c r="T45" s="758">
        <f t="shared" si="16"/>
        <v>5715.654668</v>
      </c>
      <c r="U45" s="753">
        <f t="shared" si="17"/>
        <v>209029.595</v>
      </c>
      <c r="V45" s="757">
        <f t="shared" si="18"/>
        <v>2000.479134</v>
      </c>
      <c r="W45" s="759">
        <f t="shared" si="19"/>
        <v>3715.175534</v>
      </c>
      <c r="X45" s="756"/>
      <c r="Y45" s="756"/>
      <c r="Z45" s="756"/>
    </row>
    <row r="46">
      <c r="A46" s="426">
        <f t="shared" si="6"/>
        <v>30</v>
      </c>
      <c r="B46" s="406">
        <v>37.0</v>
      </c>
      <c r="C46" s="725">
        <f t="shared" si="20"/>
        <v>47374</v>
      </c>
      <c r="D46" s="173">
        <f t="shared" si="21"/>
        <v>209029.595</v>
      </c>
      <c r="E46" s="173">
        <f t="shared" si="7"/>
        <v>8984.345332</v>
      </c>
      <c r="F46" s="610">
        <f t="shared" si="8"/>
        <v>8461.771345</v>
      </c>
      <c r="G46" s="729">
        <f t="shared" si="9"/>
        <v>522.5739875</v>
      </c>
      <c r="H46" s="173">
        <f t="shared" ref="H46:I46" si="56">H45+F46</f>
        <v>299432.1764</v>
      </c>
      <c r="I46" s="173">
        <f t="shared" si="56"/>
        <v>32988.60093</v>
      </c>
      <c r="J46" s="173">
        <f t="shared" si="11"/>
        <v>200567.8236</v>
      </c>
      <c r="P46" s="426">
        <f t="shared" si="12"/>
        <v>37</v>
      </c>
      <c r="Q46" s="173">
        <f t="shared" si="13"/>
        <v>8984.345332</v>
      </c>
      <c r="R46" s="730">
        <f t="shared" si="14"/>
        <v>300</v>
      </c>
      <c r="S46" s="732">
        <f t="shared" si="15"/>
        <v>15000</v>
      </c>
      <c r="T46" s="732">
        <f t="shared" si="16"/>
        <v>5715.654668</v>
      </c>
      <c r="U46" s="173">
        <f t="shared" si="17"/>
        <v>200567.8236</v>
      </c>
      <c r="V46" s="730">
        <f t="shared" si="18"/>
        <v>2000.479134</v>
      </c>
      <c r="W46" s="734">
        <f t="shared" si="19"/>
        <v>3715.175534</v>
      </c>
    </row>
    <row r="47">
      <c r="A47" s="426">
        <f t="shared" si="6"/>
        <v>31</v>
      </c>
      <c r="B47" s="406">
        <v>38.0</v>
      </c>
      <c r="C47" s="725">
        <f t="shared" si="20"/>
        <v>47404</v>
      </c>
      <c r="D47" s="173">
        <f t="shared" si="21"/>
        <v>200567.8236</v>
      </c>
      <c r="E47" s="173">
        <f t="shared" si="7"/>
        <v>8984.345332</v>
      </c>
      <c r="F47" s="610">
        <f t="shared" si="8"/>
        <v>8482.925773</v>
      </c>
      <c r="G47" s="729">
        <f t="shared" si="9"/>
        <v>501.4195591</v>
      </c>
      <c r="H47" s="173">
        <f t="shared" ref="H47:I47" si="57">H46+F47</f>
        <v>307915.1021</v>
      </c>
      <c r="I47" s="173">
        <f t="shared" si="57"/>
        <v>33490.02048</v>
      </c>
      <c r="J47" s="173">
        <f t="shared" si="11"/>
        <v>192084.8979</v>
      </c>
      <c r="P47" s="426">
        <f t="shared" si="12"/>
        <v>38</v>
      </c>
      <c r="Q47" s="173">
        <f t="shared" si="13"/>
        <v>8984.345332</v>
      </c>
      <c r="R47" s="730">
        <f t="shared" si="14"/>
        <v>300</v>
      </c>
      <c r="S47" s="732">
        <f t="shared" si="15"/>
        <v>15000</v>
      </c>
      <c r="T47" s="732">
        <f t="shared" si="16"/>
        <v>5715.654668</v>
      </c>
      <c r="U47" s="173">
        <f t="shared" si="17"/>
        <v>192084.8979</v>
      </c>
      <c r="V47" s="730">
        <f t="shared" si="18"/>
        <v>2000.479134</v>
      </c>
      <c r="W47" s="734">
        <f t="shared" si="19"/>
        <v>3715.175534</v>
      </c>
    </row>
    <row r="48">
      <c r="A48" s="426">
        <f t="shared" si="6"/>
        <v>30</v>
      </c>
      <c r="B48" s="406">
        <v>39.0</v>
      </c>
      <c r="C48" s="725">
        <f t="shared" si="20"/>
        <v>47435</v>
      </c>
      <c r="D48" s="173">
        <f t="shared" si="21"/>
        <v>192084.8979</v>
      </c>
      <c r="E48" s="173">
        <f t="shared" si="7"/>
        <v>8984.345332</v>
      </c>
      <c r="F48" s="610">
        <f t="shared" si="8"/>
        <v>8504.133087</v>
      </c>
      <c r="G48" s="729">
        <f t="shared" si="9"/>
        <v>480.2122447</v>
      </c>
      <c r="H48" s="173">
        <f t="shared" ref="H48:I48" si="58">H47+F48</f>
        <v>316419.2352</v>
      </c>
      <c r="I48" s="173">
        <f t="shared" si="58"/>
        <v>33970.23273</v>
      </c>
      <c r="J48" s="173">
        <f t="shared" si="11"/>
        <v>183580.7648</v>
      </c>
      <c r="P48" s="426">
        <f t="shared" si="12"/>
        <v>39</v>
      </c>
      <c r="Q48" s="173">
        <f t="shared" si="13"/>
        <v>8984.345332</v>
      </c>
      <c r="R48" s="730">
        <f t="shared" si="14"/>
        <v>300</v>
      </c>
      <c r="S48" s="732">
        <f t="shared" si="15"/>
        <v>15000</v>
      </c>
      <c r="T48" s="732">
        <f t="shared" si="16"/>
        <v>5715.654668</v>
      </c>
      <c r="U48" s="173">
        <f t="shared" si="17"/>
        <v>183580.7648</v>
      </c>
      <c r="V48" s="730">
        <f t="shared" si="18"/>
        <v>2000.479134</v>
      </c>
      <c r="W48" s="734">
        <f t="shared" si="19"/>
        <v>3715.175534</v>
      </c>
    </row>
    <row r="49">
      <c r="A49" s="426">
        <f t="shared" si="6"/>
        <v>31</v>
      </c>
      <c r="B49" s="406">
        <v>40.0</v>
      </c>
      <c r="C49" s="725">
        <f t="shared" si="20"/>
        <v>47465</v>
      </c>
      <c r="D49" s="173">
        <f t="shared" si="21"/>
        <v>183580.7648</v>
      </c>
      <c r="E49" s="173">
        <f t="shared" si="7"/>
        <v>8984.345332</v>
      </c>
      <c r="F49" s="610">
        <f t="shared" si="8"/>
        <v>8525.39342</v>
      </c>
      <c r="G49" s="729">
        <f t="shared" si="9"/>
        <v>458.9519119</v>
      </c>
      <c r="H49" s="173">
        <f t="shared" ref="H49:I49" si="59">H48+F49</f>
        <v>324944.6286</v>
      </c>
      <c r="I49" s="173">
        <f t="shared" si="59"/>
        <v>34429.18464</v>
      </c>
      <c r="J49" s="173">
        <f t="shared" si="11"/>
        <v>175055.3714</v>
      </c>
      <c r="P49" s="426">
        <f t="shared" si="12"/>
        <v>40</v>
      </c>
      <c r="Q49" s="173">
        <f t="shared" si="13"/>
        <v>8984.345332</v>
      </c>
      <c r="R49" s="730">
        <f t="shared" si="14"/>
        <v>300</v>
      </c>
      <c r="S49" s="732">
        <f t="shared" si="15"/>
        <v>15000</v>
      </c>
      <c r="T49" s="732">
        <f t="shared" si="16"/>
        <v>5715.654668</v>
      </c>
      <c r="U49" s="173">
        <f t="shared" si="17"/>
        <v>175055.3714</v>
      </c>
      <c r="V49" s="730">
        <f t="shared" si="18"/>
        <v>2000.479134</v>
      </c>
      <c r="W49" s="734">
        <f t="shared" si="19"/>
        <v>3715.175534</v>
      </c>
    </row>
    <row r="50">
      <c r="A50" s="426">
        <f t="shared" si="6"/>
        <v>31</v>
      </c>
      <c r="B50" s="406">
        <v>41.0</v>
      </c>
      <c r="C50" s="725">
        <f t="shared" si="20"/>
        <v>47496</v>
      </c>
      <c r="D50" s="173">
        <f t="shared" si="21"/>
        <v>175055.3714</v>
      </c>
      <c r="E50" s="173">
        <f t="shared" si="7"/>
        <v>8984.345332</v>
      </c>
      <c r="F50" s="610">
        <f t="shared" si="8"/>
        <v>8546.706904</v>
      </c>
      <c r="G50" s="729">
        <f t="shared" si="9"/>
        <v>437.6384284</v>
      </c>
      <c r="H50" s="173">
        <f t="shared" ref="H50:I50" si="60">H49+F50</f>
        <v>333491.3355</v>
      </c>
      <c r="I50" s="173">
        <f t="shared" si="60"/>
        <v>34866.82307</v>
      </c>
      <c r="J50" s="173">
        <f t="shared" si="11"/>
        <v>166508.6645</v>
      </c>
      <c r="P50" s="426">
        <f t="shared" si="12"/>
        <v>41</v>
      </c>
      <c r="Q50" s="173">
        <f t="shared" si="13"/>
        <v>8984.345332</v>
      </c>
      <c r="R50" s="730">
        <f t="shared" si="14"/>
        <v>300</v>
      </c>
      <c r="S50" s="732">
        <f t="shared" si="15"/>
        <v>15000</v>
      </c>
      <c r="T50" s="732">
        <f t="shared" si="16"/>
        <v>5715.654668</v>
      </c>
      <c r="U50" s="173">
        <f t="shared" si="17"/>
        <v>166508.6645</v>
      </c>
      <c r="V50" s="730">
        <f t="shared" si="18"/>
        <v>2000.479134</v>
      </c>
      <c r="W50" s="734">
        <f t="shared" si="19"/>
        <v>3715.175534</v>
      </c>
    </row>
    <row r="51">
      <c r="A51" s="426">
        <f t="shared" si="6"/>
        <v>28</v>
      </c>
      <c r="B51" s="406">
        <v>42.0</v>
      </c>
      <c r="C51" s="725">
        <f t="shared" si="20"/>
        <v>47527</v>
      </c>
      <c r="D51" s="173">
        <f t="shared" si="21"/>
        <v>166508.6645</v>
      </c>
      <c r="E51" s="173">
        <f t="shared" si="7"/>
        <v>8984.345332</v>
      </c>
      <c r="F51" s="610">
        <f t="shared" si="8"/>
        <v>8568.073671</v>
      </c>
      <c r="G51" s="729">
        <f t="shared" si="9"/>
        <v>416.2716611</v>
      </c>
      <c r="H51" s="173">
        <f t="shared" ref="H51:I51" si="61">H50+F51</f>
        <v>342059.4092</v>
      </c>
      <c r="I51" s="173">
        <f t="shared" si="61"/>
        <v>35283.09473</v>
      </c>
      <c r="J51" s="173">
        <f t="shared" si="11"/>
        <v>157940.5908</v>
      </c>
      <c r="P51" s="426">
        <f t="shared" si="12"/>
        <v>42</v>
      </c>
      <c r="Q51" s="173">
        <f t="shared" si="13"/>
        <v>8984.345332</v>
      </c>
      <c r="R51" s="730">
        <f t="shared" si="14"/>
        <v>300</v>
      </c>
      <c r="S51" s="732">
        <f t="shared" si="15"/>
        <v>15000</v>
      </c>
      <c r="T51" s="732">
        <f t="shared" si="16"/>
        <v>5715.654668</v>
      </c>
      <c r="U51" s="173">
        <f t="shared" si="17"/>
        <v>157940.5908</v>
      </c>
      <c r="V51" s="730">
        <f t="shared" si="18"/>
        <v>2000.479134</v>
      </c>
      <c r="W51" s="734">
        <f t="shared" si="19"/>
        <v>3715.175534</v>
      </c>
    </row>
    <row r="52">
      <c r="A52" s="426">
        <f t="shared" si="6"/>
        <v>31</v>
      </c>
      <c r="B52" s="406">
        <v>43.0</v>
      </c>
      <c r="C52" s="725">
        <f t="shared" si="20"/>
        <v>47555</v>
      </c>
      <c r="D52" s="173">
        <f t="shared" si="21"/>
        <v>157940.5908</v>
      </c>
      <c r="E52" s="173">
        <f t="shared" si="7"/>
        <v>8984.345332</v>
      </c>
      <c r="F52" s="610">
        <f t="shared" si="8"/>
        <v>8589.493855</v>
      </c>
      <c r="G52" s="729">
        <f t="shared" si="9"/>
        <v>394.851477</v>
      </c>
      <c r="H52" s="173">
        <f t="shared" ref="H52:I52" si="62">H51+F52</f>
        <v>350648.9031</v>
      </c>
      <c r="I52" s="173">
        <f t="shared" si="62"/>
        <v>35677.94621</v>
      </c>
      <c r="J52" s="173">
        <f t="shared" si="11"/>
        <v>149351.0969</v>
      </c>
      <c r="P52" s="426">
        <f t="shared" si="12"/>
        <v>43</v>
      </c>
      <c r="Q52" s="173">
        <f t="shared" si="13"/>
        <v>8984.345332</v>
      </c>
      <c r="R52" s="730">
        <f t="shared" si="14"/>
        <v>300</v>
      </c>
      <c r="S52" s="732">
        <f t="shared" si="15"/>
        <v>15000</v>
      </c>
      <c r="T52" s="732">
        <f t="shared" si="16"/>
        <v>5715.654668</v>
      </c>
      <c r="U52" s="173">
        <f t="shared" si="17"/>
        <v>149351.0969</v>
      </c>
      <c r="V52" s="730">
        <f t="shared" si="18"/>
        <v>2000.479134</v>
      </c>
      <c r="W52" s="734">
        <f t="shared" si="19"/>
        <v>3715.175534</v>
      </c>
    </row>
    <row r="53">
      <c r="A53" s="426">
        <f t="shared" si="6"/>
        <v>30</v>
      </c>
      <c r="B53" s="406">
        <v>44.0</v>
      </c>
      <c r="C53" s="725">
        <f t="shared" si="20"/>
        <v>47586</v>
      </c>
      <c r="D53" s="173">
        <f t="shared" si="21"/>
        <v>149351.0969</v>
      </c>
      <c r="E53" s="173">
        <f t="shared" si="7"/>
        <v>8984.345332</v>
      </c>
      <c r="F53" s="610">
        <f t="shared" si="8"/>
        <v>8610.96759</v>
      </c>
      <c r="G53" s="729">
        <f t="shared" si="9"/>
        <v>373.3777423</v>
      </c>
      <c r="H53" s="173">
        <f t="shared" ref="H53:I53" si="63">H52+F53</f>
        <v>359259.8707</v>
      </c>
      <c r="I53" s="173">
        <f t="shared" si="63"/>
        <v>36051.32395</v>
      </c>
      <c r="J53" s="173">
        <f t="shared" si="11"/>
        <v>140740.1293</v>
      </c>
      <c r="P53" s="426">
        <f t="shared" si="12"/>
        <v>44</v>
      </c>
      <c r="Q53" s="173">
        <f t="shared" si="13"/>
        <v>8984.345332</v>
      </c>
      <c r="R53" s="730">
        <f t="shared" si="14"/>
        <v>300</v>
      </c>
      <c r="S53" s="732">
        <f t="shared" si="15"/>
        <v>15000</v>
      </c>
      <c r="T53" s="732">
        <f t="shared" si="16"/>
        <v>5715.654668</v>
      </c>
      <c r="U53" s="173">
        <f t="shared" si="17"/>
        <v>140740.1293</v>
      </c>
      <c r="V53" s="730">
        <f t="shared" si="18"/>
        <v>2000.479134</v>
      </c>
      <c r="W53" s="734">
        <f t="shared" si="19"/>
        <v>3715.175534</v>
      </c>
    </row>
    <row r="54">
      <c r="A54" s="426">
        <f t="shared" si="6"/>
        <v>31</v>
      </c>
      <c r="B54" s="406">
        <v>45.0</v>
      </c>
      <c r="C54" s="725">
        <f t="shared" si="20"/>
        <v>47616</v>
      </c>
      <c r="D54" s="173">
        <f t="shared" si="21"/>
        <v>140740.1293</v>
      </c>
      <c r="E54" s="173">
        <f t="shared" si="7"/>
        <v>8984.345332</v>
      </c>
      <c r="F54" s="610">
        <f t="shared" si="8"/>
        <v>8632.495009</v>
      </c>
      <c r="G54" s="729">
        <f t="shared" si="9"/>
        <v>351.8503234</v>
      </c>
      <c r="H54" s="173">
        <f t="shared" ref="H54:I54" si="64">H53+F54</f>
        <v>367892.3657</v>
      </c>
      <c r="I54" s="173">
        <f t="shared" si="64"/>
        <v>36403.17427</v>
      </c>
      <c r="J54" s="173">
        <f t="shared" si="11"/>
        <v>132107.6343</v>
      </c>
      <c r="P54" s="426">
        <f t="shared" si="12"/>
        <v>45</v>
      </c>
      <c r="Q54" s="173">
        <f t="shared" si="13"/>
        <v>8984.345332</v>
      </c>
      <c r="R54" s="730">
        <f t="shared" si="14"/>
        <v>300</v>
      </c>
      <c r="S54" s="732">
        <f t="shared" si="15"/>
        <v>15000</v>
      </c>
      <c r="T54" s="732">
        <f t="shared" si="16"/>
        <v>5715.654668</v>
      </c>
      <c r="U54" s="173">
        <f t="shared" si="17"/>
        <v>132107.6343</v>
      </c>
      <c r="V54" s="730">
        <f t="shared" si="18"/>
        <v>2000.479134</v>
      </c>
      <c r="W54" s="734">
        <f t="shared" si="19"/>
        <v>3715.175534</v>
      </c>
    </row>
    <row r="55">
      <c r="A55" s="426">
        <f t="shared" si="6"/>
        <v>30</v>
      </c>
      <c r="B55" s="406">
        <v>46.0</v>
      </c>
      <c r="C55" s="725">
        <f t="shared" si="20"/>
        <v>47647</v>
      </c>
      <c r="D55" s="173">
        <f t="shared" si="21"/>
        <v>132107.6343</v>
      </c>
      <c r="E55" s="173">
        <f t="shared" si="7"/>
        <v>8984.345332</v>
      </c>
      <c r="F55" s="610">
        <f t="shared" si="8"/>
        <v>8654.076246</v>
      </c>
      <c r="G55" s="729">
        <f t="shared" si="9"/>
        <v>330.2690858</v>
      </c>
      <c r="H55" s="173">
        <f t="shared" ref="H55:I55" si="65">H54+F55</f>
        <v>376546.4419</v>
      </c>
      <c r="I55" s="173">
        <f t="shared" si="65"/>
        <v>36733.44336</v>
      </c>
      <c r="J55" s="173">
        <f t="shared" si="11"/>
        <v>123453.5581</v>
      </c>
      <c r="P55" s="426">
        <f t="shared" si="12"/>
        <v>46</v>
      </c>
      <c r="Q55" s="173">
        <f t="shared" si="13"/>
        <v>8984.345332</v>
      </c>
      <c r="R55" s="730">
        <f t="shared" si="14"/>
        <v>300</v>
      </c>
      <c r="S55" s="732">
        <f t="shared" si="15"/>
        <v>15000</v>
      </c>
      <c r="T55" s="732">
        <f t="shared" si="16"/>
        <v>5715.654668</v>
      </c>
      <c r="U55" s="173">
        <f t="shared" si="17"/>
        <v>123453.5581</v>
      </c>
      <c r="V55" s="730">
        <f t="shared" si="18"/>
        <v>2000.479134</v>
      </c>
      <c r="W55" s="734">
        <f t="shared" si="19"/>
        <v>3715.175534</v>
      </c>
    </row>
    <row r="56">
      <c r="A56" s="426">
        <f t="shared" si="6"/>
        <v>31</v>
      </c>
      <c r="B56" s="406">
        <v>47.0</v>
      </c>
      <c r="C56" s="725">
        <f t="shared" si="20"/>
        <v>47677</v>
      </c>
      <c r="D56" s="173">
        <f t="shared" si="21"/>
        <v>123453.5581</v>
      </c>
      <c r="E56" s="173">
        <f t="shared" si="7"/>
        <v>8984.345332</v>
      </c>
      <c r="F56" s="610">
        <f t="shared" si="8"/>
        <v>8675.711437</v>
      </c>
      <c r="G56" s="729">
        <f t="shared" si="9"/>
        <v>308.6338952</v>
      </c>
      <c r="H56" s="173">
        <f t="shared" ref="H56:I56" si="66">H55+F56</f>
        <v>385222.1534</v>
      </c>
      <c r="I56" s="173">
        <f t="shared" si="66"/>
        <v>37042.07725</v>
      </c>
      <c r="J56" s="173">
        <f t="shared" si="11"/>
        <v>114777.8466</v>
      </c>
      <c r="P56" s="426">
        <f t="shared" si="12"/>
        <v>47</v>
      </c>
      <c r="Q56" s="173">
        <f t="shared" si="13"/>
        <v>8984.345332</v>
      </c>
      <c r="R56" s="730">
        <f t="shared" si="14"/>
        <v>300</v>
      </c>
      <c r="S56" s="732">
        <f t="shared" si="15"/>
        <v>15000</v>
      </c>
      <c r="T56" s="732">
        <f t="shared" si="16"/>
        <v>5715.654668</v>
      </c>
      <c r="U56" s="173">
        <f t="shared" si="17"/>
        <v>114777.8466</v>
      </c>
      <c r="V56" s="730">
        <f t="shared" si="18"/>
        <v>2000.479134</v>
      </c>
      <c r="W56" s="734">
        <f t="shared" si="19"/>
        <v>3715.175534</v>
      </c>
    </row>
    <row r="57">
      <c r="A57" s="750">
        <f t="shared" si="6"/>
        <v>31</v>
      </c>
      <c r="B57" s="751">
        <v>48.0</v>
      </c>
      <c r="C57" s="752">
        <f t="shared" si="20"/>
        <v>47708</v>
      </c>
      <c r="D57" s="753">
        <f t="shared" si="21"/>
        <v>114777.8466</v>
      </c>
      <c r="E57" s="753">
        <f t="shared" si="7"/>
        <v>8984.345332</v>
      </c>
      <c r="F57" s="754">
        <f t="shared" si="8"/>
        <v>8697.400715</v>
      </c>
      <c r="G57" s="755">
        <f t="shared" si="9"/>
        <v>286.9446166</v>
      </c>
      <c r="H57" s="753">
        <f t="shared" ref="H57:I57" si="67">H56+F57</f>
        <v>393919.5541</v>
      </c>
      <c r="I57" s="753">
        <f t="shared" si="67"/>
        <v>37329.02187</v>
      </c>
      <c r="J57" s="753">
        <f t="shared" si="11"/>
        <v>106080.4459</v>
      </c>
      <c r="K57" s="756"/>
      <c r="L57" s="776"/>
      <c r="M57" s="776"/>
      <c r="N57" s="776"/>
      <c r="O57" s="776"/>
      <c r="P57" s="777">
        <f t="shared" si="12"/>
        <v>48</v>
      </c>
      <c r="Q57" s="778">
        <f t="shared" si="13"/>
        <v>8984.345332</v>
      </c>
      <c r="R57" s="779">
        <f t="shared" si="14"/>
        <v>300</v>
      </c>
      <c r="S57" s="780">
        <f t="shared" si="15"/>
        <v>15000</v>
      </c>
      <c r="T57" s="780">
        <f t="shared" si="16"/>
        <v>5715.654668</v>
      </c>
      <c r="U57" s="778">
        <f t="shared" si="17"/>
        <v>106080.4459</v>
      </c>
      <c r="V57" s="779">
        <f t="shared" si="18"/>
        <v>2000.479134</v>
      </c>
      <c r="W57" s="781">
        <f t="shared" si="19"/>
        <v>3715.175534</v>
      </c>
      <c r="X57" s="776"/>
      <c r="Y57" s="776"/>
      <c r="Z57" s="776"/>
    </row>
    <row r="58">
      <c r="A58" s="426">
        <f t="shared" si="6"/>
        <v>30</v>
      </c>
      <c r="B58" s="406">
        <v>49.0</v>
      </c>
      <c r="C58" s="725">
        <f t="shared" si="20"/>
        <v>47739</v>
      </c>
      <c r="D58" s="173">
        <f t="shared" si="21"/>
        <v>106080.4459</v>
      </c>
      <c r="E58" s="173">
        <f t="shared" si="7"/>
        <v>8984.345332</v>
      </c>
      <c r="F58" s="610">
        <f t="shared" si="8"/>
        <v>8719.144217</v>
      </c>
      <c r="G58" s="729">
        <f t="shared" si="9"/>
        <v>265.2011148</v>
      </c>
      <c r="H58" s="173">
        <f t="shared" ref="H58:I58" si="68">H57+F58</f>
        <v>402638.6983</v>
      </c>
      <c r="I58" s="173">
        <f t="shared" si="68"/>
        <v>37594.22299</v>
      </c>
      <c r="J58" s="173">
        <f t="shared" si="11"/>
        <v>97361.30172</v>
      </c>
      <c r="P58" s="426">
        <f t="shared" si="12"/>
        <v>49</v>
      </c>
      <c r="Q58" s="173">
        <f t="shared" si="13"/>
        <v>8984.345332</v>
      </c>
      <c r="R58" s="730">
        <f t="shared" si="14"/>
        <v>300</v>
      </c>
      <c r="S58" s="732">
        <f t="shared" si="15"/>
        <v>15000</v>
      </c>
      <c r="T58" s="732">
        <f t="shared" si="16"/>
        <v>5715.654668</v>
      </c>
      <c r="U58" s="173">
        <f t="shared" si="17"/>
        <v>97361.30172</v>
      </c>
      <c r="V58" s="730">
        <f t="shared" si="18"/>
        <v>2000.479134</v>
      </c>
      <c r="W58" s="734">
        <f t="shared" si="19"/>
        <v>3715.175534</v>
      </c>
    </row>
    <row r="59">
      <c r="A59" s="426">
        <f t="shared" si="6"/>
        <v>31</v>
      </c>
      <c r="B59" s="406">
        <v>50.0</v>
      </c>
      <c r="C59" s="725">
        <f t="shared" si="20"/>
        <v>47769</v>
      </c>
      <c r="D59" s="173">
        <f t="shared" si="21"/>
        <v>97361.30172</v>
      </c>
      <c r="E59" s="173">
        <f t="shared" si="7"/>
        <v>8984.345332</v>
      </c>
      <c r="F59" s="610">
        <f t="shared" si="8"/>
        <v>8740.942078</v>
      </c>
      <c r="G59" s="729">
        <f t="shared" si="9"/>
        <v>243.4032543</v>
      </c>
      <c r="H59" s="173">
        <f t="shared" ref="H59:I59" si="69">H58+F59</f>
        <v>411379.6404</v>
      </c>
      <c r="I59" s="173">
        <f t="shared" si="69"/>
        <v>37837.62624</v>
      </c>
      <c r="J59" s="173">
        <f t="shared" si="11"/>
        <v>88620.35964</v>
      </c>
      <c r="P59" s="426">
        <f t="shared" si="12"/>
        <v>50</v>
      </c>
      <c r="Q59" s="173">
        <f t="shared" si="13"/>
        <v>8984.345332</v>
      </c>
      <c r="R59" s="730">
        <f t="shared" si="14"/>
        <v>300</v>
      </c>
      <c r="S59" s="732">
        <f t="shared" si="15"/>
        <v>15000</v>
      </c>
      <c r="T59" s="732">
        <f t="shared" si="16"/>
        <v>5715.654668</v>
      </c>
      <c r="U59" s="173">
        <f t="shared" si="17"/>
        <v>88620.35964</v>
      </c>
      <c r="V59" s="730">
        <f t="shared" si="18"/>
        <v>2000.479134</v>
      </c>
      <c r="W59" s="734">
        <f t="shared" si="19"/>
        <v>3715.175534</v>
      </c>
    </row>
    <row r="60">
      <c r="A60" s="426">
        <f t="shared" si="6"/>
        <v>30</v>
      </c>
      <c r="B60" s="406">
        <v>51.0</v>
      </c>
      <c r="C60" s="725">
        <f t="shared" si="20"/>
        <v>47800</v>
      </c>
      <c r="D60" s="173">
        <f t="shared" si="21"/>
        <v>88620.35964</v>
      </c>
      <c r="E60" s="173">
        <f t="shared" si="7"/>
        <v>8984.345332</v>
      </c>
      <c r="F60" s="610">
        <f t="shared" si="8"/>
        <v>8762.794433</v>
      </c>
      <c r="G60" s="729">
        <f t="shared" si="9"/>
        <v>221.5508991</v>
      </c>
      <c r="H60" s="173">
        <f t="shared" ref="H60:I60" si="70">H59+F60</f>
        <v>420142.4348</v>
      </c>
      <c r="I60" s="173">
        <f t="shared" si="70"/>
        <v>38059.17714</v>
      </c>
      <c r="J60" s="173">
        <f t="shared" si="11"/>
        <v>79857.56521</v>
      </c>
      <c r="P60" s="426">
        <f t="shared" si="12"/>
        <v>51</v>
      </c>
      <c r="Q60" s="173">
        <f t="shared" si="13"/>
        <v>8984.345332</v>
      </c>
      <c r="R60" s="730">
        <f t="shared" si="14"/>
        <v>300</v>
      </c>
      <c r="S60" s="732">
        <f t="shared" si="15"/>
        <v>15000</v>
      </c>
      <c r="T60" s="732">
        <f t="shared" si="16"/>
        <v>5715.654668</v>
      </c>
      <c r="U60" s="173">
        <f t="shared" si="17"/>
        <v>79857.56521</v>
      </c>
      <c r="V60" s="730">
        <f t="shared" si="18"/>
        <v>2000.479134</v>
      </c>
      <c r="W60" s="734">
        <f t="shared" si="19"/>
        <v>3715.175534</v>
      </c>
    </row>
    <row r="61">
      <c r="A61" s="426">
        <f t="shared" si="6"/>
        <v>31</v>
      </c>
      <c r="B61" s="406">
        <v>52.0</v>
      </c>
      <c r="C61" s="725">
        <f t="shared" si="20"/>
        <v>47830</v>
      </c>
      <c r="D61" s="173">
        <f t="shared" si="21"/>
        <v>79857.56521</v>
      </c>
      <c r="E61" s="173">
        <f t="shared" si="7"/>
        <v>8984.345332</v>
      </c>
      <c r="F61" s="610">
        <f t="shared" si="8"/>
        <v>8784.701419</v>
      </c>
      <c r="G61" s="729">
        <f t="shared" si="9"/>
        <v>199.643913</v>
      </c>
      <c r="H61" s="173">
        <f t="shared" ref="H61:I61" si="71">H60+F61</f>
        <v>428927.1362</v>
      </c>
      <c r="I61" s="173">
        <f t="shared" si="71"/>
        <v>38258.82105</v>
      </c>
      <c r="J61" s="173">
        <f t="shared" si="11"/>
        <v>71072.86379</v>
      </c>
      <c r="P61" s="426">
        <f t="shared" si="12"/>
        <v>52</v>
      </c>
      <c r="Q61" s="173">
        <f t="shared" si="13"/>
        <v>8984.345332</v>
      </c>
      <c r="R61" s="730">
        <f t="shared" si="14"/>
        <v>300</v>
      </c>
      <c r="S61" s="732">
        <f t="shared" si="15"/>
        <v>15000</v>
      </c>
      <c r="T61" s="732">
        <f t="shared" si="16"/>
        <v>5715.654668</v>
      </c>
      <c r="U61" s="173">
        <f t="shared" si="17"/>
        <v>71072.86379</v>
      </c>
      <c r="V61" s="730">
        <f t="shared" si="18"/>
        <v>2000.479134</v>
      </c>
      <c r="W61" s="734">
        <f t="shared" si="19"/>
        <v>3715.175534</v>
      </c>
    </row>
    <row r="62">
      <c r="A62" s="426">
        <f t="shared" si="6"/>
        <v>31</v>
      </c>
      <c r="B62" s="406">
        <v>53.0</v>
      </c>
      <c r="C62" s="725">
        <f t="shared" si="20"/>
        <v>47861</v>
      </c>
      <c r="D62" s="173">
        <f t="shared" si="21"/>
        <v>71072.86379</v>
      </c>
      <c r="E62" s="173">
        <f t="shared" si="7"/>
        <v>8984.345332</v>
      </c>
      <c r="F62" s="610">
        <f t="shared" si="8"/>
        <v>8806.663173</v>
      </c>
      <c r="G62" s="729">
        <f t="shared" si="9"/>
        <v>177.6821595</v>
      </c>
      <c r="H62" s="173">
        <f t="shared" ref="H62:I62" si="72">H61+F62</f>
        <v>437733.7994</v>
      </c>
      <c r="I62" s="173">
        <f t="shared" si="72"/>
        <v>38436.50321</v>
      </c>
      <c r="J62" s="173">
        <f t="shared" si="11"/>
        <v>62266.20061</v>
      </c>
      <c r="P62" s="426">
        <f t="shared" si="12"/>
        <v>53</v>
      </c>
      <c r="Q62" s="173">
        <f t="shared" si="13"/>
        <v>8984.345332</v>
      </c>
      <c r="R62" s="730">
        <f t="shared" si="14"/>
        <v>300</v>
      </c>
      <c r="S62" s="732">
        <f t="shared" si="15"/>
        <v>15000</v>
      </c>
      <c r="T62" s="732">
        <f t="shared" si="16"/>
        <v>5715.654668</v>
      </c>
      <c r="U62" s="173">
        <f t="shared" si="17"/>
        <v>62266.20061</v>
      </c>
      <c r="V62" s="730">
        <f t="shared" si="18"/>
        <v>2000.479134</v>
      </c>
      <c r="W62" s="734">
        <f t="shared" si="19"/>
        <v>3715.175534</v>
      </c>
    </row>
    <row r="63">
      <c r="A63" s="426">
        <f t="shared" si="6"/>
        <v>28</v>
      </c>
      <c r="B63" s="406">
        <v>54.0</v>
      </c>
      <c r="C63" s="725">
        <f t="shared" si="20"/>
        <v>47892</v>
      </c>
      <c r="D63" s="173">
        <f t="shared" si="21"/>
        <v>62266.20061</v>
      </c>
      <c r="E63" s="173">
        <f t="shared" si="7"/>
        <v>8984.345332</v>
      </c>
      <c r="F63" s="610">
        <f t="shared" si="8"/>
        <v>8828.67983</v>
      </c>
      <c r="G63" s="729">
        <f t="shared" si="9"/>
        <v>155.6655015</v>
      </c>
      <c r="H63" s="173">
        <f t="shared" ref="H63:I63" si="73">H62+F63</f>
        <v>446562.4792</v>
      </c>
      <c r="I63" s="173">
        <f t="shared" si="73"/>
        <v>38592.16871</v>
      </c>
      <c r="J63" s="173">
        <f t="shared" si="11"/>
        <v>53437.52078</v>
      </c>
      <c r="P63" s="426">
        <f t="shared" si="12"/>
        <v>54</v>
      </c>
      <c r="Q63" s="173">
        <f t="shared" si="13"/>
        <v>8984.345332</v>
      </c>
      <c r="R63" s="730">
        <f t="shared" si="14"/>
        <v>300</v>
      </c>
      <c r="S63" s="732">
        <f t="shared" si="15"/>
        <v>15000</v>
      </c>
      <c r="T63" s="732">
        <f t="shared" si="16"/>
        <v>5715.654668</v>
      </c>
      <c r="U63" s="173">
        <f t="shared" si="17"/>
        <v>53437.52078</v>
      </c>
      <c r="V63" s="730">
        <f t="shared" si="18"/>
        <v>2000.479134</v>
      </c>
      <c r="W63" s="734">
        <f t="shared" si="19"/>
        <v>3715.175534</v>
      </c>
    </row>
    <row r="64">
      <c r="A64" s="426">
        <f t="shared" si="6"/>
        <v>31</v>
      </c>
      <c r="B64" s="406">
        <v>55.0</v>
      </c>
      <c r="C64" s="725">
        <f t="shared" si="20"/>
        <v>47920</v>
      </c>
      <c r="D64" s="173">
        <f t="shared" si="21"/>
        <v>53437.52078</v>
      </c>
      <c r="E64" s="173">
        <f t="shared" si="7"/>
        <v>8984.345332</v>
      </c>
      <c r="F64" s="610">
        <f t="shared" si="8"/>
        <v>8850.75153</v>
      </c>
      <c r="G64" s="729">
        <f t="shared" si="9"/>
        <v>133.593802</v>
      </c>
      <c r="H64" s="173">
        <f t="shared" ref="H64:I64" si="74">H63+F64</f>
        <v>455413.2307</v>
      </c>
      <c r="I64" s="173">
        <f t="shared" si="74"/>
        <v>38725.76251</v>
      </c>
      <c r="J64" s="173">
        <f t="shared" si="11"/>
        <v>44586.76925</v>
      </c>
      <c r="P64" s="426">
        <f t="shared" si="12"/>
        <v>55</v>
      </c>
      <c r="Q64" s="173">
        <f t="shared" si="13"/>
        <v>8984.345332</v>
      </c>
      <c r="R64" s="730">
        <f t="shared" si="14"/>
        <v>300</v>
      </c>
      <c r="S64" s="732">
        <f t="shared" si="15"/>
        <v>15000</v>
      </c>
      <c r="T64" s="732">
        <f t="shared" si="16"/>
        <v>5715.654668</v>
      </c>
      <c r="U64" s="173">
        <f t="shared" si="17"/>
        <v>44586.76925</v>
      </c>
      <c r="V64" s="730">
        <f t="shared" si="18"/>
        <v>2000.479134</v>
      </c>
      <c r="W64" s="734">
        <f t="shared" si="19"/>
        <v>3715.175534</v>
      </c>
    </row>
    <row r="65">
      <c r="A65" s="426">
        <f t="shared" si="6"/>
        <v>30</v>
      </c>
      <c r="B65" s="406">
        <v>56.0</v>
      </c>
      <c r="C65" s="725">
        <f t="shared" si="20"/>
        <v>47951</v>
      </c>
      <c r="D65" s="173">
        <f t="shared" si="21"/>
        <v>44586.76925</v>
      </c>
      <c r="E65" s="173">
        <f t="shared" si="7"/>
        <v>8984.345332</v>
      </c>
      <c r="F65" s="610">
        <f t="shared" si="8"/>
        <v>8872.878409</v>
      </c>
      <c r="G65" s="729">
        <f t="shared" si="9"/>
        <v>111.4669231</v>
      </c>
      <c r="H65" s="173">
        <f t="shared" ref="H65:I65" si="75">H64+F65</f>
        <v>464286.1092</v>
      </c>
      <c r="I65" s="173">
        <f t="shared" si="75"/>
        <v>38837.22944</v>
      </c>
      <c r="J65" s="173">
        <f t="shared" si="11"/>
        <v>35713.89084</v>
      </c>
      <c r="P65" s="426">
        <f t="shared" si="12"/>
        <v>56</v>
      </c>
      <c r="Q65" s="173">
        <f t="shared" si="13"/>
        <v>8984.345332</v>
      </c>
      <c r="R65" s="730">
        <f t="shared" si="14"/>
        <v>300</v>
      </c>
      <c r="S65" s="732">
        <f t="shared" si="15"/>
        <v>15000</v>
      </c>
      <c r="T65" s="732">
        <f t="shared" si="16"/>
        <v>5715.654668</v>
      </c>
      <c r="U65" s="173">
        <f t="shared" si="17"/>
        <v>35713.89084</v>
      </c>
      <c r="V65" s="730">
        <f t="shared" si="18"/>
        <v>2000.479134</v>
      </c>
      <c r="W65" s="734">
        <f t="shared" si="19"/>
        <v>3715.175534</v>
      </c>
    </row>
    <row r="66">
      <c r="A66" s="426">
        <f t="shared" si="6"/>
        <v>31</v>
      </c>
      <c r="B66" s="406">
        <v>57.0</v>
      </c>
      <c r="C66" s="725">
        <f t="shared" si="20"/>
        <v>47981</v>
      </c>
      <c r="D66" s="173">
        <f t="shared" si="21"/>
        <v>35713.89084</v>
      </c>
      <c r="E66" s="173">
        <f t="shared" si="7"/>
        <v>8984.345332</v>
      </c>
      <c r="F66" s="610">
        <f t="shared" si="8"/>
        <v>8895.060605</v>
      </c>
      <c r="G66" s="729">
        <f t="shared" si="9"/>
        <v>89.28472711</v>
      </c>
      <c r="H66" s="173">
        <f t="shared" ref="H66:I66" si="76">H65+F66</f>
        <v>473181.1698</v>
      </c>
      <c r="I66" s="173">
        <f t="shared" si="76"/>
        <v>38926.51417</v>
      </c>
      <c r="J66" s="173">
        <f t="shared" si="11"/>
        <v>26818.83024</v>
      </c>
      <c r="P66" s="426">
        <f t="shared" si="12"/>
        <v>57</v>
      </c>
      <c r="Q66" s="173">
        <f t="shared" si="13"/>
        <v>8984.345332</v>
      </c>
      <c r="R66" s="730">
        <f t="shared" si="14"/>
        <v>300</v>
      </c>
      <c r="S66" s="732">
        <f t="shared" si="15"/>
        <v>15000</v>
      </c>
      <c r="T66" s="732">
        <f t="shared" si="16"/>
        <v>5715.654668</v>
      </c>
      <c r="U66" s="173">
        <f t="shared" si="17"/>
        <v>26818.83024</v>
      </c>
      <c r="V66" s="730">
        <f t="shared" si="18"/>
        <v>2000.479134</v>
      </c>
      <c r="W66" s="734">
        <f t="shared" si="19"/>
        <v>3715.175534</v>
      </c>
    </row>
    <row r="67">
      <c r="A67" s="426">
        <f t="shared" si="6"/>
        <v>30</v>
      </c>
      <c r="B67" s="406">
        <v>58.0</v>
      </c>
      <c r="C67" s="725">
        <f t="shared" si="20"/>
        <v>48012</v>
      </c>
      <c r="D67" s="173">
        <f t="shared" si="21"/>
        <v>26818.83024</v>
      </c>
      <c r="E67" s="173">
        <f t="shared" si="7"/>
        <v>8984.345332</v>
      </c>
      <c r="F67" s="610">
        <f t="shared" si="8"/>
        <v>8917.298256</v>
      </c>
      <c r="G67" s="729">
        <f t="shared" si="9"/>
        <v>67.0470756</v>
      </c>
      <c r="H67" s="173">
        <f t="shared" ref="H67:I67" si="77">H66+F67</f>
        <v>482098.468</v>
      </c>
      <c r="I67" s="173">
        <f t="shared" si="77"/>
        <v>38993.56124</v>
      </c>
      <c r="J67" s="173">
        <f t="shared" si="11"/>
        <v>17901.53198</v>
      </c>
      <c r="P67" s="426">
        <f t="shared" si="12"/>
        <v>58</v>
      </c>
      <c r="Q67" s="173">
        <f t="shared" si="13"/>
        <v>8984.345332</v>
      </c>
      <c r="R67" s="730">
        <f t="shared" si="14"/>
        <v>300</v>
      </c>
      <c r="S67" s="732">
        <f t="shared" si="15"/>
        <v>15000</v>
      </c>
      <c r="T67" s="732">
        <f t="shared" si="16"/>
        <v>5715.654668</v>
      </c>
      <c r="U67" s="173">
        <f t="shared" si="17"/>
        <v>17901.53198</v>
      </c>
      <c r="V67" s="730">
        <f t="shared" si="18"/>
        <v>2000.479134</v>
      </c>
      <c r="W67" s="734">
        <f t="shared" si="19"/>
        <v>3715.175534</v>
      </c>
    </row>
    <row r="68">
      <c r="A68" s="426">
        <f t="shared" si="6"/>
        <v>31</v>
      </c>
      <c r="B68" s="406">
        <v>59.0</v>
      </c>
      <c r="C68" s="725">
        <f t="shared" si="20"/>
        <v>48042</v>
      </c>
      <c r="D68" s="173">
        <f t="shared" si="21"/>
        <v>17901.53198</v>
      </c>
      <c r="E68" s="173">
        <f t="shared" si="7"/>
        <v>8984.345332</v>
      </c>
      <c r="F68" s="610">
        <f t="shared" si="8"/>
        <v>8939.591502</v>
      </c>
      <c r="G68" s="729">
        <f t="shared" si="9"/>
        <v>44.75382996</v>
      </c>
      <c r="H68" s="173">
        <f t="shared" ref="H68:I68" si="78">H67+F68</f>
        <v>491038.0595</v>
      </c>
      <c r="I68" s="173">
        <f t="shared" si="78"/>
        <v>39038.31507</v>
      </c>
      <c r="J68" s="173">
        <f t="shared" si="11"/>
        <v>8961.940481</v>
      </c>
      <c r="P68" s="426">
        <f t="shared" si="12"/>
        <v>59</v>
      </c>
      <c r="Q68" s="173">
        <f t="shared" si="13"/>
        <v>8984.345332</v>
      </c>
      <c r="R68" s="730">
        <f t="shared" si="14"/>
        <v>300</v>
      </c>
      <c r="S68" s="732">
        <f t="shared" si="15"/>
        <v>15000</v>
      </c>
      <c r="T68" s="732">
        <f t="shared" si="16"/>
        <v>5715.654668</v>
      </c>
      <c r="U68" s="173">
        <f t="shared" si="17"/>
        <v>8961.940481</v>
      </c>
      <c r="V68" s="730">
        <f t="shared" si="18"/>
        <v>2000.479134</v>
      </c>
      <c r="W68" s="734">
        <f t="shared" si="19"/>
        <v>3715.175534</v>
      </c>
    </row>
    <row r="69">
      <c r="A69" s="750">
        <f t="shared" si="6"/>
        <v>31</v>
      </c>
      <c r="B69" s="751">
        <v>60.0</v>
      </c>
      <c r="C69" s="752">
        <f t="shared" si="20"/>
        <v>48073</v>
      </c>
      <c r="D69" s="753">
        <f t="shared" si="21"/>
        <v>8961.940481</v>
      </c>
      <c r="E69" s="753">
        <f t="shared" si="7"/>
        <v>8984.345332</v>
      </c>
      <c r="F69" s="754">
        <f t="shared" si="8"/>
        <v>8961.940481</v>
      </c>
      <c r="G69" s="729">
        <f t="shared" si="9"/>
        <v>22.4048512</v>
      </c>
      <c r="H69" s="753">
        <f t="shared" ref="H69:I69" si="79">H68+F69</f>
        <v>500000</v>
      </c>
      <c r="I69" s="753">
        <f t="shared" si="79"/>
        <v>39060.71992</v>
      </c>
      <c r="J69" s="753">
        <f t="shared" si="11"/>
        <v>-0.00000001098487701</v>
      </c>
      <c r="K69" s="756"/>
      <c r="L69" s="756"/>
      <c r="M69" s="756"/>
      <c r="N69" s="756"/>
      <c r="O69" s="756"/>
      <c r="P69" s="750">
        <f t="shared" si="12"/>
        <v>60</v>
      </c>
      <c r="Q69" s="753">
        <f t="shared" si="13"/>
        <v>8984.345332</v>
      </c>
      <c r="R69" s="757">
        <f t="shared" si="14"/>
        <v>300</v>
      </c>
      <c r="S69" s="758">
        <f t="shared" si="15"/>
        <v>15000</v>
      </c>
      <c r="T69" s="758">
        <f t="shared" si="16"/>
        <v>5715.654668</v>
      </c>
      <c r="U69" s="753">
        <f t="shared" si="17"/>
        <v>-0.00000001098487701</v>
      </c>
      <c r="V69" s="757">
        <f t="shared" si="18"/>
        <v>2000.479134</v>
      </c>
      <c r="W69" s="759">
        <f t="shared" si="19"/>
        <v>3715.175534</v>
      </c>
      <c r="X69" s="756"/>
      <c r="Y69" s="756"/>
      <c r="Z69" s="756"/>
    </row>
    <row r="70">
      <c r="B70" s="434"/>
      <c r="R70" s="714" t="s">
        <v>183</v>
      </c>
      <c r="S70" s="782">
        <f t="shared" ref="S70:T70" si="80">sum(S10:S69)</f>
        <v>900000</v>
      </c>
      <c r="T70" s="782">
        <f t="shared" si="80"/>
        <v>342939.2801</v>
      </c>
      <c r="U70" s="433"/>
      <c r="V70" s="782">
        <f t="shared" ref="V70:W70" si="81">sum(V10:V69)</f>
        <v>120028.748</v>
      </c>
      <c r="W70" s="782">
        <f t="shared" si="81"/>
        <v>222910.5321</v>
      </c>
    </row>
    <row r="71">
      <c r="B71" s="434"/>
      <c r="E71" s="434" t="s">
        <v>183</v>
      </c>
      <c r="F71" s="28">
        <f t="shared" ref="F71:G71" si="82">sum(F10:F69)</f>
        <v>500000</v>
      </c>
      <c r="G71" s="28">
        <f t="shared" si="82"/>
        <v>39060.71992</v>
      </c>
    </row>
  </sheetData>
  <mergeCells count="1">
    <mergeCell ref="A9:B9"/>
  </mergeCells>
  <drawing r:id="rId1"/>
</worksheet>
</file>